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cher\Desktop\"/>
    </mc:Choice>
  </mc:AlternateContent>
  <xr:revisionPtr revIDLastSave="0" documentId="8_{A6396F1F-5A4B-4227-9107-98512DBCCD0B}" xr6:coauthVersionLast="47" xr6:coauthVersionMax="47" xr10:uidLastSave="{00000000-0000-0000-0000-000000000000}"/>
  <bookViews>
    <workbookView xWindow="-28920" yWindow="-120" windowWidth="29040" windowHeight="17640" tabRatio="852" activeTab="1" xr2:uid="{00000000-000D-0000-FFFF-FFFF00000000}"/>
  </bookViews>
  <sheets>
    <sheet name="Triangle Active 6-24" sheetId="258" r:id="rId1"/>
    <sheet name="Triangle Wins 6-24" sheetId="259" r:id="rId2"/>
  </sheets>
  <definedNames>
    <definedName name="d" localSheetId="1">#REF!</definedName>
    <definedName name="d">#REF!</definedName>
    <definedName name="_xlnm.Print_Area" localSheetId="0">'Triangle Active 6-24'!$F$1:$S$4</definedName>
    <definedName name="progress" localSheetId="1">#REF!</definedName>
    <definedName name="progress">#REF!</definedName>
    <definedName name="prospects" localSheetId="1">#REF!</definedName>
    <definedName name="prospect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59" l="1"/>
  <c r="I4" i="259"/>
  <c r="I5" i="259"/>
  <c r="I6" i="259"/>
  <c r="I7" i="259"/>
  <c r="I8" i="259"/>
  <c r="I2" i="259"/>
  <c r="I3" i="258"/>
  <c r="I4" i="258"/>
  <c r="I2" i="25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AAB380-9215-4C0C-85C3-086FECF70800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478C3B4C-4851-48DD-A81A-2B881AAB2B6D}" keepAlive="1" name="Query - Query1 (2)" description="Connection to the 'Query1 (2)' query in the workbook." type="5" refreshedVersion="8" background="1" saveData="1">
    <dbPr connection="Provider=Microsoft.Mashup.OleDb.1;Data Source=$Workbook$;Location=&quot;Query1 (2)&quot;;Extended Properties=&quot;&quot;" command="SELECT * FROM [Query1 (2)]"/>
  </connection>
</connections>
</file>

<file path=xl/sharedStrings.xml><?xml version="1.0" encoding="utf-8"?>
<sst xmlns="http://schemas.openxmlformats.org/spreadsheetml/2006/main" count="156" uniqueCount="63">
  <si>
    <t>Stage</t>
  </si>
  <si>
    <t>Opportunity Name</t>
  </si>
  <si>
    <t>Created Date</t>
  </si>
  <si>
    <t>Close Date</t>
  </si>
  <si>
    <t>Age</t>
  </si>
  <si>
    <t>Service Lines</t>
  </si>
  <si>
    <t>Type</t>
  </si>
  <si>
    <t>Proposal</t>
  </si>
  <si>
    <t>OUT</t>
  </si>
  <si>
    <t>Other</t>
  </si>
  <si>
    <t>Technology</t>
  </si>
  <si>
    <t>Qualified</t>
  </si>
  <si>
    <t>Closed Won</t>
  </si>
  <si>
    <t>Data source</t>
  </si>
  <si>
    <t>Originator</t>
  </si>
  <si>
    <t>Ryan Keating</t>
  </si>
  <si>
    <t>Total Contract Value</t>
  </si>
  <si>
    <t>Service Line Group</t>
  </si>
  <si>
    <t>Team</t>
  </si>
  <si>
    <t>Office Location</t>
  </si>
  <si>
    <t>Brooks Malone</t>
  </si>
  <si>
    <t>Benchmark Tool &amp; Supply</t>
  </si>
  <si>
    <t>Outsourced Accounting</t>
  </si>
  <si>
    <t>StickerApp</t>
  </si>
  <si>
    <t>Industry/Segment</t>
  </si>
  <si>
    <t>GOV/RBM/HLD</t>
  </si>
  <si>
    <t>Brooks Malone/Heather Dean</t>
  </si>
  <si>
    <t>Manufacturing &amp; Distribution</t>
  </si>
  <si>
    <t>READDI</t>
  </si>
  <si>
    <t>CAS</t>
  </si>
  <si>
    <t>WRW</t>
  </si>
  <si>
    <t>Not for Profit - Life Science</t>
  </si>
  <si>
    <t>RBM</t>
  </si>
  <si>
    <t>M&amp;D</t>
  </si>
  <si>
    <t>Gencia Biotech</t>
  </si>
  <si>
    <t>THF/WRW</t>
  </si>
  <si>
    <t>Industry Group</t>
  </si>
  <si>
    <t>Alice Aycock Poe Center for Education</t>
  </si>
  <si>
    <t>Back Office</t>
  </si>
  <si>
    <t>RivalX</t>
  </si>
  <si>
    <t>AEB/RBM</t>
  </si>
  <si>
    <t>Xiroko</t>
  </si>
  <si>
    <t>Security training</t>
  </si>
  <si>
    <t>Genecia Corporation</t>
  </si>
  <si>
    <t>Pulsate Mobile, Ltd.</t>
  </si>
  <si>
    <t>Med Aditus Pharmaceuticals, Inc.</t>
  </si>
  <si>
    <t>Life Science BioPharma</t>
  </si>
  <si>
    <t>Digitopia Co.</t>
  </si>
  <si>
    <t>GOV</t>
  </si>
  <si>
    <t>Back Office/Tax</t>
  </si>
  <si>
    <t>Opp ID</t>
  </si>
  <si>
    <t>Triangle</t>
  </si>
  <si>
    <t>Stage adjusted</t>
  </si>
  <si>
    <t>Account Name</t>
  </si>
  <si>
    <t>First Year Fees</t>
  </si>
  <si>
    <t>Leader</t>
  </si>
  <si>
    <t>MidMarket CAS</t>
  </si>
  <si>
    <t>Account name</t>
  </si>
  <si>
    <t>Opp Name</t>
  </si>
  <si>
    <t>Closed Date</t>
  </si>
  <si>
    <t>Service Line</t>
  </si>
  <si>
    <t>Cementica</t>
  </si>
  <si>
    <t>GOV/RBM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</si>
</sst>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5" formatCode="&quot;$&quot;#,##0"/>
    <numFmt numFmtId="166" formatCode="m/d/yy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19" fillId="0" borderId="0"/>
    <xf numFmtId="0" fontId="1" fillId="0" borderId="0"/>
    <xf numFmtId="0" fontId="19" fillId="0" borderId="0"/>
    <xf numFmtId="0" fontId="20" fillId="0" borderId="0"/>
    <xf numFmtId="0" fontId="20" fillId="0" borderId="0"/>
    <xf numFmtId="0" fontId="18" fillId="0" borderId="0"/>
    <xf numFmtId="0" fontId="21" fillId="0" borderId="0"/>
    <xf numFmtId="0" fontId="21" fillId="0" borderId="0"/>
    <xf numFmtId="0" fontId="1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8" fillId="0" borderId="0"/>
    <xf numFmtId="0" fontId="22" fillId="0" borderId="0"/>
    <xf numFmtId="0" fontId="22" fillId="0" borderId="0"/>
    <xf numFmtId="0" fontId="23" fillId="0" borderId="0"/>
    <xf numFmtId="0" fontId="22" fillId="0" borderId="0"/>
    <xf numFmtId="0" fontId="18" fillId="0" borderId="0"/>
    <xf numFmtId="0" fontId="24" fillId="0" borderId="0"/>
    <xf numFmtId="44" fontId="24" fillId="0" borderId="0" applyFont="0" applyFill="0" applyBorder="0" applyAlignment="0" applyProtection="0"/>
  </cellStyleXfs>
  <cellXfs count="48">
    <xf numFmtId="0" fontId="0" fillId="0" borderId="0" xfId="0"/>
    <xf numFmtId="0" fontId="25" fillId="33" borderId="10" xfId="63" applyFont="1" applyFill="1" applyBorder="1" applyAlignment="1">
      <alignment horizontal="center" vertical="center" wrapText="1"/>
    </xf>
    <xf numFmtId="165" fontId="25" fillId="33" borderId="11" xfId="63" applyNumberFormat="1" applyFont="1" applyFill="1" applyBorder="1" applyAlignment="1">
      <alignment horizontal="center" vertical="center" wrapText="1"/>
    </xf>
    <xf numFmtId="0" fontId="24" fillId="34" borderId="0" xfId="63" applyFill="1"/>
    <xf numFmtId="165" fontId="25" fillId="33" borderId="10" xfId="63" applyNumberFormat="1" applyFont="1" applyFill="1" applyBorder="1" applyAlignment="1">
      <alignment horizontal="center" vertical="center" wrapText="1"/>
    </xf>
    <xf numFmtId="166" fontId="25" fillId="33" borderId="10" xfId="63" applyNumberFormat="1" applyFont="1" applyFill="1" applyBorder="1" applyAlignment="1">
      <alignment horizontal="center" vertical="center" wrapText="1"/>
    </xf>
    <xf numFmtId="0" fontId="25" fillId="33" borderId="13" xfId="63" applyFont="1" applyFill="1" applyBorder="1" applyAlignment="1">
      <alignment horizontal="center" vertical="center" wrapText="1"/>
    </xf>
    <xf numFmtId="0" fontId="25" fillId="34" borderId="0" xfId="63" applyFont="1" applyFill="1"/>
    <xf numFmtId="0" fontId="26" fillId="34" borderId="0" xfId="63" applyFont="1" applyFill="1"/>
    <xf numFmtId="0" fontId="24" fillId="0" borderId="0" xfId="63"/>
    <xf numFmtId="0" fontId="24" fillId="34" borderId="12" xfId="63" applyFill="1" applyBorder="1"/>
    <xf numFmtId="0" fontId="25" fillId="0" borderId="0" xfId="63" applyFont="1" applyAlignment="1">
      <alignment wrapText="1"/>
    </xf>
    <xf numFmtId="165" fontId="24" fillId="0" borderId="0" xfId="63" applyNumberFormat="1" applyAlignment="1">
      <alignment horizontal="center"/>
    </xf>
    <xf numFmtId="0" fontId="24" fillId="0" borderId="0" xfId="63" applyAlignment="1">
      <alignment horizontal="center" wrapText="1"/>
    </xf>
    <xf numFmtId="0" fontId="24" fillId="0" borderId="0" xfId="63" applyAlignment="1">
      <alignment horizontal="center"/>
    </xf>
    <xf numFmtId="0" fontId="24" fillId="0" borderId="0" xfId="63" applyAlignment="1">
      <alignment wrapText="1"/>
    </xf>
    <xf numFmtId="166" fontId="24" fillId="0" borderId="0" xfId="63" applyNumberFormat="1" applyAlignment="1">
      <alignment horizontal="center"/>
    </xf>
    <xf numFmtId="14" fontId="25" fillId="33" borderId="10" xfId="63" applyNumberFormat="1" applyFont="1" applyFill="1" applyBorder="1" applyAlignment="1">
      <alignment horizontal="center" vertical="center" wrapText="1"/>
    </xf>
    <xf numFmtId="0" fontId="24" fillId="34" borderId="12" xfId="63" applyFill="1" applyBorder="1" applyAlignment="1">
      <alignment wrapText="1"/>
    </xf>
    <xf numFmtId="165" fontId="24" fillId="34" borderId="12" xfId="63" applyNumberFormat="1" applyFill="1" applyBorder="1" applyAlignment="1">
      <alignment horizontal="center"/>
    </xf>
    <xf numFmtId="14" fontId="24" fillId="34" borderId="12" xfId="63" applyNumberFormat="1" applyFill="1" applyBorder="1" applyAlignment="1">
      <alignment horizontal="center" wrapText="1"/>
    </xf>
    <xf numFmtId="14" fontId="24" fillId="34" borderId="12" xfId="63" applyNumberFormat="1" applyFill="1" applyBorder="1" applyAlignment="1">
      <alignment horizontal="center"/>
    </xf>
    <xf numFmtId="0" fontId="24" fillId="34" borderId="12" xfId="63" applyFill="1" applyBorder="1" applyAlignment="1">
      <alignment horizontal="center"/>
    </xf>
    <xf numFmtId="0" fontId="24" fillId="34" borderId="12" xfId="63" applyFill="1" applyBorder="1" applyAlignment="1">
      <alignment horizontal="center" wrapText="1"/>
    </xf>
    <xf numFmtId="165" fontId="24" fillId="34" borderId="12" xfId="63" applyNumberFormat="1" applyFill="1" applyBorder="1" applyAlignment="1">
      <alignment horizontal="left" wrapText="1"/>
    </xf>
    <xf numFmtId="166" fontId="24" fillId="34" borderId="12" xfId="63" applyNumberFormat="1" applyFill="1" applyBorder="1" applyAlignment="1">
      <alignment horizontal="center"/>
    </xf>
    <xf numFmtId="0" fontId="24" fillId="34" borderId="15" xfId="63" applyFill="1" applyBorder="1" applyAlignment="1">
      <alignment horizontal="center"/>
    </xf>
    <xf numFmtId="0" fontId="24" fillId="34" borderId="14" xfId="63" applyFill="1" applyBorder="1"/>
    <xf numFmtId="0" fontId="24" fillId="34" borderId="14" xfId="63" applyFill="1" applyBorder="1" applyAlignment="1">
      <alignment horizontal="center"/>
    </xf>
    <xf numFmtId="0" fontId="24" fillId="34" borderId="14" xfId="63" applyFill="1" applyBorder="1" applyAlignment="1">
      <alignment horizontal="center" wrapText="1"/>
    </xf>
    <xf numFmtId="0" fontId="24" fillId="34" borderId="14" xfId="63" applyFill="1" applyBorder="1" applyAlignment="1">
      <alignment wrapText="1"/>
    </xf>
    <xf numFmtId="14" fontId="24" fillId="0" borderId="0" xfId="63" applyNumberFormat="1"/>
    <xf numFmtId="0" fontId="25" fillId="0" borderId="10" xfId="63" applyFont="1" applyBorder="1"/>
    <xf numFmtId="0" fontId="25" fillId="0" borderId="0" xfId="63" applyFont="1"/>
    <xf numFmtId="166" fontId="24" fillId="34" borderId="14" xfId="63" applyNumberFormat="1" applyFill="1" applyBorder="1" applyAlignment="1">
      <alignment horizontal="center"/>
    </xf>
    <xf numFmtId="14" fontId="24" fillId="34" borderId="14" xfId="63" applyNumberFormat="1" applyFill="1" applyBorder="1" applyAlignment="1">
      <alignment horizontal="center"/>
    </xf>
    <xf numFmtId="0" fontId="24" fillId="0" borderId="12" xfId="63" applyBorder="1" applyAlignment="1">
      <alignment horizontal="left"/>
    </xf>
    <xf numFmtId="0" fontId="24" fillId="0" borderId="12" xfId="63" applyBorder="1" applyAlignment="1">
      <alignment horizontal="center" wrapText="1"/>
    </xf>
    <xf numFmtId="165" fontId="24" fillId="0" borderId="12" xfId="63" applyNumberFormat="1" applyBorder="1" applyAlignment="1">
      <alignment horizontal="center"/>
    </xf>
    <xf numFmtId="165" fontId="24" fillId="0" borderId="0" xfId="63" applyNumberFormat="1"/>
    <xf numFmtId="166" fontId="24" fillId="0" borderId="12" xfId="63" applyNumberFormat="1" applyBorder="1" applyAlignment="1">
      <alignment horizontal="center"/>
    </xf>
    <xf numFmtId="0" fontId="24" fillId="0" borderId="12" xfId="63" applyBorder="1" applyAlignment="1">
      <alignment wrapText="1"/>
    </xf>
    <xf numFmtId="0" fontId="24" fillId="0" borderId="12" xfId="63" applyBorder="1" applyAlignment="1">
      <alignment horizontal="center"/>
    </xf>
    <xf numFmtId="0" fontId="26" fillId="0" borderId="0" xfId="63" applyFont="1"/>
    <xf numFmtId="0" fontId="24" fillId="0" borderId="12" xfId="63" applyBorder="1"/>
    <xf numFmtId="0" fontId="24" fillId="0" borderId="16" xfId="63" applyBorder="1"/>
    <xf numFmtId="0" fontId="24" fillId="34" borderId="12" xfId="63" applyFill="1" applyBorder="1" applyAlignment="1">
      <alignment horizontal="left"/>
    </xf>
    <xf numFmtId="165" fontId="24" fillId="34" borderId="14" xfId="63" applyNumberFormat="1" applyFill="1" applyBorder="1" applyAlignment="1">
      <alignment horizontal="center"/>
    </xf>
  </cellXfs>
  <cellStyles count="6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64" xr:uid="{FB5B3455-311A-46BD-BB79-4B089BE1CDBF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1" xr:uid="{C2A01474-0B51-4720-A45F-B21BFDF369CC}"/>
    <cellStyle name="Normal 11" xfId="52" xr:uid="{8CBA0F78-3E89-41AB-A87B-E3F2DEDE5C5C}"/>
    <cellStyle name="Normal 11 2" xfId="62" xr:uid="{24EFAC76-DE9A-4418-A6F1-D4745B90CDFA}"/>
    <cellStyle name="Normal 12" xfId="53" xr:uid="{F053A35B-6D5B-4883-BAD8-9BD228B618DF}"/>
    <cellStyle name="Normal 13" xfId="54" xr:uid="{36517D8D-3B7B-4289-90BC-4C7F343E201A}"/>
    <cellStyle name="Normal 14" xfId="55" xr:uid="{4CD01F7A-3474-4C7C-B6DA-B3FE058F3219}"/>
    <cellStyle name="Normal 15" xfId="56" xr:uid="{BF06739D-CD92-4214-8AE8-D6719F664D2F}"/>
    <cellStyle name="Normal 16" xfId="57" xr:uid="{0AB93286-E955-4FCC-B943-1CAE6C323681}"/>
    <cellStyle name="Normal 17" xfId="58" xr:uid="{2C32DAE5-0B93-42BA-AD3A-BD349944B359}"/>
    <cellStyle name="Normal 18" xfId="59" xr:uid="{0A38AF73-0A55-43A5-9332-57D41B760AC9}"/>
    <cellStyle name="Normal 19" xfId="60" xr:uid="{90F3CB0E-F172-40B8-9468-0072917EB792}"/>
    <cellStyle name="Normal 2" xfId="42" xr:uid="{00000000-0005-0000-0000-000025000000}"/>
    <cellStyle name="Normal 2 2" xfId="44" xr:uid="{0016C24B-48CA-4B94-99F7-E1570A17169D}"/>
    <cellStyle name="Normal 2 3" xfId="63" xr:uid="{BB1E06E1-64A2-4A85-86BA-FF31CC4E2D33}"/>
    <cellStyle name="Normal 20" xfId="61" xr:uid="{AA0A204F-338D-4B84-814F-EE81351A61A8}"/>
    <cellStyle name="Normal 3" xfId="43" xr:uid="{00000000-0005-0000-0000-000026000000}"/>
    <cellStyle name="Normal 4" xfId="45" xr:uid="{34B7FA0F-485E-4D1F-AD08-BE18E3BAF328}"/>
    <cellStyle name="Normal 5" xfId="46" xr:uid="{63B6AC36-F7F9-4C1D-933B-5642AD920CEC}"/>
    <cellStyle name="Normal 6" xfId="47" xr:uid="{73C67A44-420C-418B-8947-72F11C5EEA7D}"/>
    <cellStyle name="Normal 7" xfId="48" xr:uid="{4F752C9F-7AB6-47DD-9238-86BA5FBF230C}"/>
    <cellStyle name="Normal 8" xfId="49" xr:uid="{0E2F1511-4DC2-423C-83BC-4E6C6D990B4A}"/>
    <cellStyle name="Normal 9" xfId="50" xr:uid="{4EFD373B-52BA-49BE-96D5-F97E8A419FD2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AB753-EE6C-4E7C-B607-BE2EFB96155B}">
  <sheetPr codeName="Sheet2">
    <tabColor rgb="FF92D050"/>
    <pageSetUpPr fitToPage="1"/>
  </sheetPr>
  <dimension ref="A1:CM6"/>
  <sheetViews>
    <sheetView zoomScaleNormal="100" workbookViewId="0">
      <pane xSplit="6" ySplit="1" topLeftCell="G2" activePane="bottomRight" state="frozen"/>
      <selection activeCell="I26" sqref="I26"/>
      <selection pane="topRight" activeCell="I26" sqref="I26"/>
      <selection pane="bottomLeft" activeCell="I26" sqref="I26"/>
      <selection pane="bottomRight" activeCell="A2" sqref="A2:XFD4"/>
    </sheetView>
  </sheetViews>
  <sheetFormatPr defaultColWidth="8.85546875" defaultRowHeight="13.5" customHeight="1" x14ac:dyDescent="0.25"/>
  <cols>
    <col min="1" max="5" width="8.85546875" style="9"/>
    <col min="6" max="6" width="44.42578125" style="11" customWidth="1"/>
    <col min="7" max="7" width="24.28515625" style="13" customWidth="1"/>
    <col min="8" max="8" width="11" style="12" customWidth="1"/>
    <col min="10" max="12" width="10.7109375" style="16" customWidth="1"/>
    <col min="13" max="13" width="24.5703125" style="15" customWidth="1"/>
    <col min="14" max="17" width="18" style="14" customWidth="1"/>
    <col min="18" max="19" width="26.5703125" style="15" customWidth="1"/>
    <col min="20" max="20" width="8.85546875" style="8" customWidth="1"/>
    <col min="21" max="70" width="8.85546875" style="3"/>
    <col min="71" max="16384" width="8.85546875" style="9"/>
  </cols>
  <sheetData>
    <row r="1" spans="1:91" s="33" customFormat="1" ht="13.5" customHeight="1" x14ac:dyDescent="0.2">
      <c r="A1" s="32" t="s">
        <v>13</v>
      </c>
      <c r="B1" s="33" t="s">
        <v>50</v>
      </c>
      <c r="C1" s="33" t="s">
        <v>17</v>
      </c>
      <c r="D1" s="33" t="s">
        <v>0</v>
      </c>
      <c r="E1" s="33" t="s">
        <v>52</v>
      </c>
      <c r="F1" s="1" t="s">
        <v>53</v>
      </c>
      <c r="G1" s="1" t="s">
        <v>1</v>
      </c>
      <c r="H1" s="4" t="s">
        <v>54</v>
      </c>
      <c r="I1" s="33" t="s">
        <v>16</v>
      </c>
      <c r="J1" s="5" t="s">
        <v>2</v>
      </c>
      <c r="K1" s="5" t="s">
        <v>3</v>
      </c>
      <c r="L1" s="5" t="s">
        <v>4</v>
      </c>
      <c r="M1" s="1" t="s">
        <v>14</v>
      </c>
      <c r="N1" s="1" t="s">
        <v>55</v>
      </c>
      <c r="O1" s="1" t="s">
        <v>18</v>
      </c>
      <c r="P1" s="1" t="s">
        <v>5</v>
      </c>
      <c r="Q1" s="1" t="s">
        <v>6</v>
      </c>
      <c r="R1" s="1" t="s">
        <v>24</v>
      </c>
      <c r="S1" s="1" t="s">
        <v>19</v>
      </c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</row>
    <row r="2" spans="1:91" ht="15.95" customHeight="1" x14ac:dyDescent="0.2">
      <c r="A2" s="9" t="s">
        <v>51</v>
      </c>
      <c r="C2" s="9" t="s">
        <v>8</v>
      </c>
      <c r="E2" s="9" t="s">
        <v>7</v>
      </c>
      <c r="F2" s="36" t="s">
        <v>23</v>
      </c>
      <c r="G2" s="37" t="s">
        <v>22</v>
      </c>
      <c r="H2" s="38">
        <v>75600</v>
      </c>
      <c r="I2" s="39">
        <f>H2</f>
        <v>75600</v>
      </c>
      <c r="J2" s="40">
        <v>45344</v>
      </c>
      <c r="K2" s="40"/>
      <c r="L2" s="40"/>
      <c r="M2" s="41" t="s">
        <v>26</v>
      </c>
      <c r="N2" s="42" t="s">
        <v>25</v>
      </c>
      <c r="O2" s="42"/>
      <c r="P2" s="42" t="s">
        <v>56</v>
      </c>
      <c r="Q2" s="42"/>
      <c r="R2" s="41" t="s">
        <v>27</v>
      </c>
      <c r="S2" s="41" t="s">
        <v>51</v>
      </c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</row>
    <row r="3" spans="1:91" s="44" customFormat="1" ht="15.95" customHeight="1" x14ac:dyDescent="0.2">
      <c r="A3" s="9" t="s">
        <v>51</v>
      </c>
      <c r="C3" s="44" t="s">
        <v>8</v>
      </c>
      <c r="E3" s="44" t="s">
        <v>11</v>
      </c>
      <c r="F3" s="44" t="s">
        <v>28</v>
      </c>
      <c r="G3" s="37" t="s">
        <v>29</v>
      </c>
      <c r="H3" s="38">
        <v>24000</v>
      </c>
      <c r="I3" s="39">
        <f t="shared" ref="I3:I4" si="0">H3</f>
        <v>24000</v>
      </c>
      <c r="J3" s="40"/>
      <c r="K3" s="40"/>
      <c r="L3" s="40"/>
      <c r="M3" s="41"/>
      <c r="N3" s="42" t="s">
        <v>30</v>
      </c>
      <c r="O3" s="42"/>
      <c r="P3" s="42" t="s">
        <v>56</v>
      </c>
      <c r="Q3" s="42"/>
      <c r="R3" s="41" t="s">
        <v>31</v>
      </c>
      <c r="S3" s="41" t="s">
        <v>51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45"/>
    </row>
    <row r="4" spans="1:91" ht="15.95" customHeight="1" x14ac:dyDescent="0.2">
      <c r="A4" s="9" t="s">
        <v>51</v>
      </c>
      <c r="C4" s="9" t="s">
        <v>8</v>
      </c>
      <c r="E4" s="9" t="s">
        <v>11</v>
      </c>
      <c r="F4" s="36" t="s">
        <v>21</v>
      </c>
      <c r="G4" s="37" t="s">
        <v>29</v>
      </c>
      <c r="H4" s="38">
        <v>50000</v>
      </c>
      <c r="I4" s="39">
        <f t="shared" si="0"/>
        <v>50000</v>
      </c>
      <c r="J4" s="40">
        <v>45421</v>
      </c>
      <c r="K4" s="40"/>
      <c r="L4" s="40"/>
      <c r="M4" s="41" t="s">
        <v>20</v>
      </c>
      <c r="N4" s="42" t="s">
        <v>32</v>
      </c>
      <c r="O4" s="42"/>
      <c r="P4" s="42" t="s">
        <v>56</v>
      </c>
      <c r="Q4" s="42"/>
      <c r="R4" s="41" t="s">
        <v>33</v>
      </c>
      <c r="S4" s="41" t="s">
        <v>51</v>
      </c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</row>
    <row r="5" spans="1:91" ht="12" customHeight="1" x14ac:dyDescent="0.2">
      <c r="I5" s="9"/>
    </row>
    <row r="6" spans="1:91" ht="12" customHeight="1" x14ac:dyDescent="0.2">
      <c r="I6" s="9"/>
    </row>
  </sheetData>
  <sheetProtection formatCells="0" formatColumns="0" formatRows="0" insertColumns="0" insertRows="0" insertHyperlinks="0" deleteColumns="0" deleteRows="0" sort="0" autoFilter="0" pivotTables="0"/>
  <printOptions horizontalCentered="1" verticalCentered="1" gridLines="1"/>
  <pageMargins left="0.5" right="0.25" top="0.25" bottom="0.25" header="0.5" footer="0.5"/>
  <pageSetup scale="35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BFD7-8BA8-4132-A5B7-16F45DC801BD}">
  <sheetPr codeName="Sheet3">
    <tabColor rgb="FF92D050"/>
  </sheetPr>
  <dimension ref="A1:S10"/>
  <sheetViews>
    <sheetView tabSelected="1" topLeftCell="C1" workbookViewId="0">
      <selection activeCell="F8" sqref="F8"/>
    </sheetView>
  </sheetViews>
  <sheetFormatPr defaultColWidth="8.85546875" defaultRowHeight="15" x14ac:dyDescent="0.25"/>
  <cols>
    <col min="1" max="5" width="8.85546875" style="9"/>
    <col min="6" max="6" width="34.140625" style="9" customWidth="1"/>
    <col min="7" max="7" width="21.85546875" style="9" customWidth="1"/>
    <col min="8" max="9" width="15.28515625" style="9" customWidth="1"/>
    <col min="10" max="10" width="13" style="31" customWidth="1"/>
    <col min="11" max="13" width="13.7109375" style="9" customWidth="1"/>
    <col min="14" max="14" width="15.140625" style="9" customWidth="1"/>
    <col min="18" max="18" width="26" style="9" customWidth="1"/>
    <col min="19" max="19" width="14.85546875" style="9" bestFit="1" customWidth="1"/>
    <col min="20" max="16384" width="8.85546875" style="9"/>
  </cols>
  <sheetData>
    <row r="1" spans="1:19" ht="25.5" x14ac:dyDescent="0.2">
      <c r="A1" s="9" t="s">
        <v>13</v>
      </c>
      <c r="B1" s="9" t="s">
        <v>50</v>
      </c>
      <c r="C1" s="9" t="s">
        <v>17</v>
      </c>
      <c r="D1" s="9" t="s">
        <v>0</v>
      </c>
      <c r="E1" s="9" t="s">
        <v>52</v>
      </c>
      <c r="F1" s="1" t="s">
        <v>57</v>
      </c>
      <c r="G1" s="1" t="s">
        <v>58</v>
      </c>
      <c r="H1" s="1" t="s">
        <v>54</v>
      </c>
      <c r="I1" s="1" t="s">
        <v>16</v>
      </c>
      <c r="J1" s="17" t="s">
        <v>2</v>
      </c>
      <c r="K1" s="1" t="s">
        <v>59</v>
      </c>
      <c r="L1" s="1" t="s">
        <v>4</v>
      </c>
      <c r="M1" s="1" t="s">
        <v>14</v>
      </c>
      <c r="N1" s="1" t="s">
        <v>55</v>
      </c>
      <c r="O1" s="9" t="s">
        <v>18</v>
      </c>
      <c r="P1" s="9" t="s">
        <v>60</v>
      </c>
      <c r="Q1" s="9" t="s">
        <v>6</v>
      </c>
      <c r="R1" s="6" t="s">
        <v>36</v>
      </c>
      <c r="S1" s="2" t="s">
        <v>19</v>
      </c>
    </row>
    <row r="2" spans="1:19" ht="15" customHeight="1" x14ac:dyDescent="0.2">
      <c r="A2" s="9" t="s">
        <v>51</v>
      </c>
      <c r="C2" s="9" t="s">
        <v>8</v>
      </c>
      <c r="D2" s="9" t="s">
        <v>12</v>
      </c>
      <c r="E2" s="9" t="s">
        <v>12</v>
      </c>
      <c r="F2" s="18" t="s">
        <v>37</v>
      </c>
      <c r="G2" s="23" t="s">
        <v>38</v>
      </c>
      <c r="H2" s="19">
        <v>116000</v>
      </c>
      <c r="I2" s="19">
        <f>H2</f>
        <v>116000</v>
      </c>
      <c r="J2" s="20">
        <v>45426</v>
      </c>
      <c r="K2" s="21">
        <v>45320</v>
      </c>
      <c r="L2" s="21"/>
      <c r="M2" s="21"/>
      <c r="N2" s="22" t="s">
        <v>30</v>
      </c>
      <c r="O2" s="9"/>
      <c r="P2" s="9" t="s">
        <v>56</v>
      </c>
      <c r="Q2" s="9"/>
      <c r="R2" s="22" t="s">
        <v>9</v>
      </c>
      <c r="S2" s="24" t="s">
        <v>51</v>
      </c>
    </row>
    <row r="3" spans="1:19" ht="15.95" customHeight="1" x14ac:dyDescent="0.2">
      <c r="A3" s="9" t="s">
        <v>51</v>
      </c>
      <c r="C3" s="9" t="s">
        <v>8</v>
      </c>
      <c r="D3" s="9" t="s">
        <v>12</v>
      </c>
      <c r="E3" s="9" t="s">
        <v>12</v>
      </c>
      <c r="F3" s="10" t="s">
        <v>39</v>
      </c>
      <c r="G3" s="23" t="s">
        <v>29</v>
      </c>
      <c r="H3" s="19">
        <v>75000</v>
      </c>
      <c r="I3" s="19">
        <f t="shared" ref="I3:I8" si="0">H3</f>
        <v>75000</v>
      </c>
      <c r="J3" s="21">
        <v>45415</v>
      </c>
      <c r="K3" s="25">
        <v>45419</v>
      </c>
      <c r="L3" s="25"/>
      <c r="M3" s="25"/>
      <c r="N3" s="22" t="s">
        <v>40</v>
      </c>
      <c r="O3" s="9"/>
      <c r="P3" s="9" t="s">
        <v>56</v>
      </c>
      <c r="Q3" s="9"/>
      <c r="R3" s="22" t="s">
        <v>10</v>
      </c>
      <c r="S3" s="24" t="s">
        <v>51</v>
      </c>
    </row>
    <row r="4" spans="1:19" ht="15.95" customHeight="1" x14ac:dyDescent="0.2">
      <c r="A4" s="9" t="s">
        <v>51</v>
      </c>
      <c r="C4" s="9" t="s">
        <v>8</v>
      </c>
      <c r="D4" s="9" t="s">
        <v>12</v>
      </c>
      <c r="E4" s="9" t="s">
        <v>12</v>
      </c>
      <c r="F4" s="10" t="s">
        <v>41</v>
      </c>
      <c r="G4" s="23" t="s">
        <v>29</v>
      </c>
      <c r="H4" s="19">
        <v>60000</v>
      </c>
      <c r="I4" s="19">
        <f t="shared" si="0"/>
        <v>60000</v>
      </c>
      <c r="J4" s="21">
        <v>45352</v>
      </c>
      <c r="K4" s="25">
        <v>45357</v>
      </c>
      <c r="L4" s="25"/>
      <c r="M4" s="25"/>
      <c r="N4" s="22" t="s">
        <v>32</v>
      </c>
      <c r="O4" s="9"/>
      <c r="P4" s="9" t="s">
        <v>56</v>
      </c>
      <c r="Q4" s="9"/>
      <c r="R4" s="26" t="s">
        <v>42</v>
      </c>
      <c r="S4" s="24" t="s">
        <v>51</v>
      </c>
    </row>
    <row r="5" spans="1:19" ht="15.95" customHeight="1" x14ac:dyDescent="0.2">
      <c r="A5" s="9" t="s">
        <v>51</v>
      </c>
      <c r="C5" s="9" t="s">
        <v>8</v>
      </c>
      <c r="D5" s="9" t="s">
        <v>12</v>
      </c>
      <c r="E5" s="9" t="s">
        <v>12</v>
      </c>
      <c r="F5" s="18" t="s">
        <v>43</v>
      </c>
      <c r="G5" s="23" t="s">
        <v>38</v>
      </c>
      <c r="H5" s="19">
        <v>39700</v>
      </c>
      <c r="I5" s="19">
        <f t="shared" si="0"/>
        <v>39700</v>
      </c>
      <c r="J5" s="20">
        <v>45426</v>
      </c>
      <c r="K5" s="21">
        <v>45320</v>
      </c>
      <c r="L5" s="21"/>
      <c r="M5" s="21"/>
      <c r="N5" s="22" t="s">
        <v>35</v>
      </c>
      <c r="O5" s="9"/>
      <c r="P5" s="9" t="s">
        <v>56</v>
      </c>
      <c r="Q5" s="9"/>
      <c r="R5" s="26" t="s">
        <v>9</v>
      </c>
      <c r="S5" s="24" t="s">
        <v>51</v>
      </c>
    </row>
    <row r="6" spans="1:19" ht="15.95" customHeight="1" x14ac:dyDescent="0.2">
      <c r="A6" s="9" t="s">
        <v>51</v>
      </c>
      <c r="C6" s="9" t="s">
        <v>8</v>
      </c>
      <c r="D6" s="9" t="s">
        <v>12</v>
      </c>
      <c r="E6" s="9" t="s">
        <v>12</v>
      </c>
      <c r="F6" s="27" t="s">
        <v>44</v>
      </c>
      <c r="G6" s="29" t="s">
        <v>29</v>
      </c>
      <c r="H6" s="19">
        <v>24000</v>
      </c>
      <c r="I6" s="19">
        <f t="shared" si="0"/>
        <v>24000</v>
      </c>
      <c r="J6" s="21">
        <v>45402</v>
      </c>
      <c r="K6" s="25">
        <v>45402</v>
      </c>
      <c r="L6" s="34"/>
      <c r="M6" s="34"/>
      <c r="N6" s="28" t="s">
        <v>30</v>
      </c>
      <c r="O6" s="9"/>
      <c r="P6" s="9" t="s">
        <v>56</v>
      </c>
      <c r="Q6" s="9"/>
      <c r="R6" s="26" t="s">
        <v>10</v>
      </c>
      <c r="S6" s="24" t="s">
        <v>51</v>
      </c>
    </row>
    <row r="7" spans="1:19" ht="15.95" customHeight="1" x14ac:dyDescent="0.2">
      <c r="A7" s="9" t="s">
        <v>51</v>
      </c>
      <c r="C7" s="9" t="s">
        <v>8</v>
      </c>
      <c r="D7" s="9" t="s">
        <v>12</v>
      </c>
      <c r="E7" s="9" t="s">
        <v>12</v>
      </c>
      <c r="F7" s="30" t="s">
        <v>45</v>
      </c>
      <c r="G7" s="29" t="s">
        <v>38</v>
      </c>
      <c r="H7" s="19">
        <v>19500</v>
      </c>
      <c r="I7" s="19">
        <f t="shared" si="0"/>
        <v>19500</v>
      </c>
      <c r="J7" s="20">
        <v>45426</v>
      </c>
      <c r="K7" s="21">
        <v>45320</v>
      </c>
      <c r="L7" s="35"/>
      <c r="M7" s="35"/>
      <c r="N7" s="28" t="s">
        <v>35</v>
      </c>
      <c r="O7" s="9"/>
      <c r="P7" s="9" t="s">
        <v>56</v>
      </c>
      <c r="Q7" s="9"/>
      <c r="R7" s="26" t="s">
        <v>46</v>
      </c>
      <c r="S7" s="24" t="s">
        <v>51</v>
      </c>
    </row>
    <row r="8" spans="1:19" ht="15.95" customHeight="1" x14ac:dyDescent="0.2">
      <c r="A8" s="9" t="s">
        <v>51</v>
      </c>
      <c r="C8" s="9" t="s">
        <v>8</v>
      </c>
      <c r="D8" s="9" t="s">
        <v>12</v>
      </c>
      <c r="E8" s="9" t="s">
        <v>12</v>
      </c>
      <c r="F8" s="30" t="s">
        <v>47</v>
      </c>
      <c r="G8" s="29" t="s">
        <v>49</v>
      </c>
      <c r="H8" s="19">
        <v>18950</v>
      </c>
      <c r="I8" s="19">
        <f t="shared" si="0"/>
        <v>18950</v>
      </c>
      <c r="J8" s="21">
        <v>45427</v>
      </c>
      <c r="K8" s="25">
        <v>45371</v>
      </c>
      <c r="L8" s="34"/>
      <c r="M8" s="34"/>
      <c r="N8" s="28" t="s">
        <v>48</v>
      </c>
      <c r="O8" s="9"/>
      <c r="P8" s="9" t="s">
        <v>56</v>
      </c>
      <c r="Q8" s="9"/>
      <c r="R8" s="26" t="s">
        <v>10</v>
      </c>
      <c r="S8" s="24" t="s">
        <v>51</v>
      </c>
    </row>
    <row r="9" spans="1:19" x14ac:dyDescent="0.25">
      <c r="A9" s="9" t="s">
        <v>51</v>
      </c>
      <c r="C9" s="9" t="s">
        <v>8</v>
      </c>
      <c r="D9" s="9" t="s">
        <v>12</v>
      </c>
      <c r="E9" s="9" t="s">
        <v>12</v>
      </c>
      <c r="F9" s="46" t="s">
        <v>61</v>
      </c>
      <c r="G9" s="29" t="s">
        <v>22</v>
      </c>
      <c r="H9" s="19">
        <v>75000</v>
      </c>
      <c r="I9" s="19">
        <v>75000</v>
      </c>
      <c r="K9" s="21">
        <v>45458</v>
      </c>
      <c r="N9" s="22" t="s">
        <v>62</v>
      </c>
      <c r="O9" s="28" t="s">
        <v>15</v>
      </c>
      <c r="P9" s="9" t="s">
        <v>56</v>
      </c>
      <c r="S9" s="24" t="s">
        <v>51</v>
      </c>
    </row>
    <row r="10" spans="1:19" x14ac:dyDescent="0.25">
      <c r="A10" s="9" t="s">
        <v>51</v>
      </c>
      <c r="C10" s="9" t="s">
        <v>8</v>
      </c>
      <c r="D10" s="9" t="s">
        <v>12</v>
      </c>
      <c r="E10" s="9" t="s">
        <v>12</v>
      </c>
      <c r="F10" s="30" t="s">
        <v>34</v>
      </c>
      <c r="G10" s="29" t="s">
        <v>29</v>
      </c>
      <c r="H10" s="47">
        <v>25000</v>
      </c>
      <c r="I10" s="47">
        <v>25000</v>
      </c>
      <c r="K10" s="35">
        <v>45458</v>
      </c>
      <c r="N10" s="28" t="s">
        <v>35</v>
      </c>
      <c r="P10" s="9" t="s">
        <v>56</v>
      </c>
      <c r="S10" s="24" t="s">
        <v>51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49A7EB-595B-436F-9283-CB953079A3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Triangle Active 6-24</vt:lpstr>
      <vt:lpstr>Triangle Wins 6-24</vt:lpstr>
      <vt:lpstr>'Triangle Active 6-24'!Print_Area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Caitlin Lacher</dc:creator>
  <cp:lastModifiedBy>Lacher, Caitlin</cp:lastModifiedBy>
  <dcterms:created xsi:type="dcterms:W3CDTF">2023-10-19T19:03:38Z</dcterms:created>
  <dcterms:modified xsi:type="dcterms:W3CDTF">2024-07-10T18:48:40Z</dcterms:modified>
</cp:coreProperties>
</file>