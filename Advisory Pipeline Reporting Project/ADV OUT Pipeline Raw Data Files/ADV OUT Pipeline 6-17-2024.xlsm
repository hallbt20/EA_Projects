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isneramper-my.sharepoint.com/personal/bh36314_us_eisner_biz/Documents/Documents/"/>
    </mc:Choice>
  </mc:AlternateContent>
  <xr:revisionPtr revIDLastSave="62" documentId="13_ncr:1_{114E22E4-2022-4411-827F-3B4695CDF03A}" xr6:coauthVersionLast="47" xr6:coauthVersionMax="47" xr10:uidLastSave="{314A4019-372D-412C-B630-3C47023A85FB}"/>
  <bookViews>
    <workbookView xWindow="28680" yWindow="-120" windowWidth="29040" windowHeight="15840" tabRatio="851" activeTab="2" xr2:uid="{00000000-000D-0000-FFFF-FFFF00000000}"/>
  </bookViews>
  <sheets>
    <sheet name="Legacy OIT Active 4-15" sheetId="196" r:id="rId1"/>
    <sheet name="Triangle Active 5-28" sheetId="258" r:id="rId2"/>
    <sheet name="Triangle Wins 5-28" sheetId="259" r:id="rId3"/>
  </sheets>
  <definedNames>
    <definedName name="_xlnm._FilterDatabase" localSheetId="0" hidden="1">'Legacy OIT Active 4-15'!$A$1:$AB$48</definedName>
    <definedName name="d" localSheetId="2">#REF!</definedName>
    <definedName name="d">#REF!</definedName>
    <definedName name="_xlnm.Print_Area" localSheetId="0">'Legacy OIT Active 4-15'!$B$2:$R$47</definedName>
    <definedName name="_xlnm.Print_Area" localSheetId="1">'Triangle Active 5-28'!$F$1:$S$5</definedName>
    <definedName name="progress" localSheetId="2">#REF!</definedName>
    <definedName name="progress">#REF!</definedName>
    <definedName name="prospects" localSheetId="2">#REF!</definedName>
    <definedName name="prospect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259" l="1"/>
  <c r="I4" i="259"/>
  <c r="I5" i="259"/>
  <c r="I6" i="259"/>
  <c r="I7" i="259"/>
  <c r="I8" i="259"/>
  <c r="I2" i="259"/>
  <c r="I3" i="258"/>
  <c r="I4" i="258"/>
  <c r="I5" i="258"/>
  <c r="I2" i="258"/>
  <c r="I3" i="196" l="1"/>
  <c r="I4" i="196"/>
  <c r="I5" i="196"/>
  <c r="I6" i="196"/>
  <c r="I7" i="196"/>
  <c r="I8" i="196"/>
  <c r="I9" i="196"/>
  <c r="I10" i="196"/>
  <c r="I11" i="196"/>
  <c r="I12" i="196"/>
  <c r="I13" i="196"/>
  <c r="I14" i="196"/>
  <c r="I15" i="196"/>
  <c r="I16" i="196"/>
  <c r="I17" i="196"/>
  <c r="I18" i="196"/>
  <c r="I19" i="196"/>
  <c r="I20" i="196"/>
  <c r="I21" i="196"/>
  <c r="I22" i="196"/>
  <c r="I23" i="196"/>
  <c r="I24" i="196"/>
  <c r="I25" i="196"/>
  <c r="I26" i="196"/>
  <c r="I27" i="196"/>
  <c r="I28" i="196"/>
  <c r="I29" i="196"/>
  <c r="I30" i="196"/>
  <c r="I31" i="196"/>
  <c r="I32" i="196"/>
  <c r="I33" i="196"/>
  <c r="I34" i="196"/>
  <c r="I35" i="196"/>
  <c r="I36" i="196"/>
  <c r="I37" i="196"/>
  <c r="I38" i="196"/>
  <c r="I39" i="196"/>
  <c r="I40" i="196"/>
  <c r="I41" i="196"/>
  <c r="I42" i="196"/>
  <c r="I43" i="196"/>
  <c r="I44" i="196"/>
  <c r="I45" i="196"/>
  <c r="I46" i="196"/>
  <c r="I47" i="196"/>
  <c r="I48" i="196"/>
  <c r="I2" i="19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8AAB380-9215-4C0C-85C3-086FECF70800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  <connection id="2" xr16:uid="{478C3B4C-4851-48DD-A81A-2B881AAB2B6D}" keepAlive="1" name="Query - Query1 (2)" description="Connection to the 'Query1 (2)' query in the workbook." type="5" refreshedVersion="8" background="1" saveData="1">
    <dbPr connection="Provider=Microsoft.Mashup.OleDb.1;Data Source=$Workbook$;Location=&quot;Query1 (2)&quot;;Extended Properties=&quot;&quot;" command="SELECT * FROM [Query1 (2)]"/>
  </connection>
</connections>
</file>

<file path=xl/sharedStrings.xml><?xml version="1.0" encoding="utf-8"?>
<sst xmlns="http://schemas.openxmlformats.org/spreadsheetml/2006/main" count="661" uniqueCount="206">
  <si>
    <t>Stage</t>
  </si>
  <si>
    <t>Opportunity Name</t>
  </si>
  <si>
    <t>Created Date</t>
  </si>
  <si>
    <t>Close Date</t>
  </si>
  <si>
    <t>Age</t>
  </si>
  <si>
    <t>Service Lines</t>
  </si>
  <si>
    <t>Type</t>
  </si>
  <si>
    <t>Recurrence</t>
  </si>
  <si>
    <t>Last Activity</t>
  </si>
  <si>
    <t>Next Step</t>
  </si>
  <si>
    <t>Client Code</t>
  </si>
  <si>
    <t>Proposal</t>
  </si>
  <si>
    <t>OUT</t>
  </si>
  <si>
    <t>Non-Profit</t>
  </si>
  <si>
    <t>Other</t>
  </si>
  <si>
    <t>Construction</t>
  </si>
  <si>
    <t>Technology</t>
  </si>
  <si>
    <t>Qualified</t>
  </si>
  <si>
    <t>Unqualified</t>
  </si>
  <si>
    <t>Data Source</t>
  </si>
  <si>
    <t>Contact</t>
  </si>
  <si>
    <t>Closed Won</t>
  </si>
  <si>
    <t>TBD</t>
  </si>
  <si>
    <t>Data source</t>
  </si>
  <si>
    <t>Originator</t>
  </si>
  <si>
    <t>Victor Aranda</t>
  </si>
  <si>
    <t>Rahul Mahna</t>
  </si>
  <si>
    <t>Product</t>
  </si>
  <si>
    <t>Total Contract Value</t>
  </si>
  <si>
    <t>Record ID</t>
  </si>
  <si>
    <t>ACCOUNT_NAME</t>
  </si>
  <si>
    <t>OPPORTUNITY_NAME</t>
  </si>
  <si>
    <t>SERVICE_LINE</t>
  </si>
  <si>
    <t>ORIGINATOR</t>
  </si>
  <si>
    <t>SALES_LEADER</t>
  </si>
  <si>
    <t>CREATED_DATE</t>
  </si>
  <si>
    <t>EXPECTED_CLOSE</t>
  </si>
  <si>
    <t>STAGE</t>
  </si>
  <si>
    <t>ESTIMATED_FEES</t>
  </si>
  <si>
    <t>TYPE</t>
  </si>
  <si>
    <t>INDUSTRY</t>
  </si>
  <si>
    <t>In Discussion</t>
  </si>
  <si>
    <t>EXPANDED BUSINESS</t>
  </si>
  <si>
    <t>NEW</t>
  </si>
  <si>
    <t>Financial Services</t>
  </si>
  <si>
    <t>Lead</t>
  </si>
  <si>
    <t>New</t>
  </si>
  <si>
    <t>jdowling</t>
  </si>
  <si>
    <t>Public Sector</t>
  </si>
  <si>
    <t>Managed Tech</t>
  </si>
  <si>
    <t>jkobrin</t>
  </si>
  <si>
    <t>Rick Giurlando</t>
  </si>
  <si>
    <t>Cybersecurity Technology Asessment</t>
  </si>
  <si>
    <t>Hub</t>
  </si>
  <si>
    <t>iCapital</t>
  </si>
  <si>
    <t>First Look</t>
  </si>
  <si>
    <t>Nightengale</t>
  </si>
  <si>
    <t>Website enhancement and consulting</t>
  </si>
  <si>
    <t>CareLink Community Support Services</t>
  </si>
  <si>
    <t>pyellen</t>
  </si>
  <si>
    <t>Manufacturing and Distribution</t>
  </si>
  <si>
    <t>Miltan Management</t>
  </si>
  <si>
    <t>Website development</t>
  </si>
  <si>
    <t>Property Management</t>
  </si>
  <si>
    <t>Western Construction Corp</t>
  </si>
  <si>
    <t>Software Consulting / Selection</t>
  </si>
  <si>
    <t>File Transfer Solution</t>
  </si>
  <si>
    <t>ChildNet</t>
  </si>
  <si>
    <t>Outsourced IT - Cybersecurity NIST Technology</t>
  </si>
  <si>
    <t>Foster Care Center In Broward County FL</t>
  </si>
  <si>
    <t>Creative Marketing Alliance (CMA)</t>
  </si>
  <si>
    <t>Outsourced IT - Managed Service</t>
  </si>
  <si>
    <t>Marketing</t>
  </si>
  <si>
    <t>Project Work through 26 Miami-Dade County business units</t>
  </si>
  <si>
    <t>Jewish Communal Fund</t>
  </si>
  <si>
    <t>varanda</t>
  </si>
  <si>
    <t>12/132023</t>
  </si>
  <si>
    <t>McGovern Legal Services, LLC</t>
  </si>
  <si>
    <t>AutoElevate Privileged Access Management Service</t>
  </si>
  <si>
    <t>Radar Fund, LP</t>
  </si>
  <si>
    <t>Onsite Network Professional Services</t>
  </si>
  <si>
    <t>PrimarySource</t>
  </si>
  <si>
    <t>Managed IT Services</t>
  </si>
  <si>
    <t>mnazli</t>
  </si>
  <si>
    <t>S&amp;L Aerospace Metals LLC</t>
  </si>
  <si>
    <t xml:space="preserve">Verkada Video Surveillance </t>
  </si>
  <si>
    <t>Clematis 201 Corp.</t>
  </si>
  <si>
    <t>IT &amp; Cybersecurity Advisory</t>
  </si>
  <si>
    <t>4. Quoted</t>
  </si>
  <si>
    <t>Cybersecurity Services (2024)</t>
  </si>
  <si>
    <t>Logistics  and Digital Assets</t>
  </si>
  <si>
    <t>Health Care Center CHILD</t>
  </si>
  <si>
    <t>Learn Behavioral</t>
  </si>
  <si>
    <t>Datto Siris S5 -4TB Backup Solution</t>
  </si>
  <si>
    <t>Over The Top</t>
  </si>
  <si>
    <t>New WatchGuard Firewall For Orlando Office</t>
  </si>
  <si>
    <t>Ocean Gate Borough Police Department</t>
  </si>
  <si>
    <t>Panasonic 14" Rugged FZ-55 Laptop &amp; CF-33 Tablet</t>
  </si>
  <si>
    <t>Our Lady of Perpetual Help Mission</t>
  </si>
  <si>
    <t>Panasonic ToughBook G2 Tablet for maintenance supervisor</t>
  </si>
  <si>
    <t>Fair Lawn Borough</t>
  </si>
  <si>
    <t>Needs include WatchGuard Firewall &amp; Netgear Network Switch</t>
  </si>
  <si>
    <t>American Textile &amp; Apparel Inc.</t>
  </si>
  <si>
    <t>Quote#1807 Conference Room Meeting Solution</t>
  </si>
  <si>
    <t>Englewood City</t>
  </si>
  <si>
    <t xml:space="preserve">Panasonic ToughBook Tablet for Detective Bureau </t>
  </si>
  <si>
    <t>Quote #001544 File Server to OneDrive/SharePoint Migration</t>
  </si>
  <si>
    <t>Netcong Borough</t>
  </si>
  <si>
    <t>Mobile Device Rugged PC's for New Vehicle 2023-24</t>
  </si>
  <si>
    <t xml:space="preserve">Pemberton Township </t>
  </si>
  <si>
    <t>Panasonic Toughbook FZ-55's for Grant Funding</t>
  </si>
  <si>
    <t>EisnerAmper LLP</t>
  </si>
  <si>
    <t>Verkada Security Solution for EA FLL</t>
  </si>
  <si>
    <t>Demarest Borough</t>
  </si>
  <si>
    <t>Panasonic ToughPad FZ-G2's Replacement of CF-20's</t>
  </si>
  <si>
    <t>Rockaway Borough</t>
  </si>
  <si>
    <t>Panasonic ToughBook CF-33 for Police Department</t>
  </si>
  <si>
    <t>Union County of Public Safety</t>
  </si>
  <si>
    <t>Panasonic ToughBook CF-33's for Health Department Grant</t>
  </si>
  <si>
    <t>Watchung Board of Education</t>
  </si>
  <si>
    <t>Lenovo 100e Chromebooks 2024-25 School Year for Budgeting</t>
  </si>
  <si>
    <t>Legacy OIT</t>
  </si>
  <si>
    <t>Service Line Group</t>
  </si>
  <si>
    <t>Stage Adjusted</t>
  </si>
  <si>
    <t>Team</t>
  </si>
  <si>
    <t>Office Location</t>
  </si>
  <si>
    <t>Due Date</t>
  </si>
  <si>
    <t>Primary Campaign Source</t>
  </si>
  <si>
    <t>Originator SL</t>
  </si>
  <si>
    <t>Opp Leader SL</t>
  </si>
  <si>
    <t>Middle Collegiate Church</t>
  </si>
  <si>
    <t>New Building / New Network Project</t>
  </si>
  <si>
    <t>Branchburg Township</t>
  </si>
  <si>
    <t>Watchguard Firewalls / Access Points / Licenses</t>
  </si>
  <si>
    <t>Bedminster Township Public School</t>
  </si>
  <si>
    <t>Datto Siris Backup Solution</t>
  </si>
  <si>
    <t>Linwood City</t>
  </si>
  <si>
    <t>CF-33 TB</t>
  </si>
  <si>
    <t>Quote in Review</t>
  </si>
  <si>
    <t>Panasonic Toughbook FZG2</t>
  </si>
  <si>
    <t>Miami (Miami-Dade County) - BID HOLDER</t>
  </si>
  <si>
    <t>Limited Run Games</t>
  </si>
  <si>
    <t>Gsuite to M365 Migration</t>
  </si>
  <si>
    <t>Brooks Malone</t>
  </si>
  <si>
    <t>Entertainment - Video Game, Developer, Reseller</t>
  </si>
  <si>
    <t>Miami Airport</t>
  </si>
  <si>
    <t>Outsourced IT - Product</t>
  </si>
  <si>
    <t>Pushing to meet and present ToughBook to support mobility initiative</t>
  </si>
  <si>
    <t>Tropical Foods</t>
  </si>
  <si>
    <t>Outsourced IT - Security Compliance</t>
  </si>
  <si>
    <t>Logistics and food distrbution</t>
  </si>
  <si>
    <t>Cosette Pharma</t>
  </si>
  <si>
    <t>EGUIDE - MARKETING</t>
  </si>
  <si>
    <t>Bandera</t>
  </si>
  <si>
    <t>Lumos Capital</t>
  </si>
  <si>
    <t>Crisdel Group</t>
  </si>
  <si>
    <t>Watchguard M470</t>
  </si>
  <si>
    <t>Jdowling</t>
  </si>
  <si>
    <t>Watchguard Firewall - Greenbay Center</t>
  </si>
  <si>
    <t>Population Health</t>
  </si>
  <si>
    <t>Metsera Inc</t>
  </si>
  <si>
    <t>Lenovo Carbon - Spare Machines</t>
  </si>
  <si>
    <t>CPC</t>
  </si>
  <si>
    <t>Reporting Phase 2</t>
  </si>
  <si>
    <t>Power BI</t>
  </si>
  <si>
    <t>Benchmark Tool &amp; Supply</t>
  </si>
  <si>
    <t>Outsourced Accounting</t>
  </si>
  <si>
    <t>StickerApp</t>
  </si>
  <si>
    <t>Industry/Segment</t>
  </si>
  <si>
    <t>GOV/RBM/HLD</t>
  </si>
  <si>
    <t>Brooks Malone/Heather Dean</t>
  </si>
  <si>
    <t>Manufacturing &amp; Distribution</t>
  </si>
  <si>
    <t>READDI</t>
  </si>
  <si>
    <t>CAS</t>
  </si>
  <si>
    <t>WRW</t>
  </si>
  <si>
    <t>Not for Profit - Life Science</t>
  </si>
  <si>
    <t>RBM</t>
  </si>
  <si>
    <t>M&amp;D</t>
  </si>
  <si>
    <t>Gencia Biotech</t>
  </si>
  <si>
    <t>THF/WRW</t>
  </si>
  <si>
    <t>Life Science</t>
  </si>
  <si>
    <t>Industry Group</t>
  </si>
  <si>
    <t>Alice Aycock Poe Center for Education</t>
  </si>
  <si>
    <t>Back Office</t>
  </si>
  <si>
    <t>RivalX</t>
  </si>
  <si>
    <t>AEB/RBM</t>
  </si>
  <si>
    <t>Xiroko</t>
  </si>
  <si>
    <t>Security training</t>
  </si>
  <si>
    <t>Genecia Corporation</t>
  </si>
  <si>
    <t>Pulsate Mobile, Ltd.</t>
  </si>
  <si>
    <t>Med Aditus Pharmaceuticals, Inc.</t>
  </si>
  <si>
    <t>Life Science BioPharma</t>
  </si>
  <si>
    <t>Digitopia Co.</t>
  </si>
  <si>
    <t>GOV</t>
  </si>
  <si>
    <t>Back Office/Tax</t>
  </si>
  <si>
    <t>Opp ID</t>
  </si>
  <si>
    <t>Triangle</t>
  </si>
  <si>
    <t>Stage adjusted</t>
  </si>
  <si>
    <t>Account Name</t>
  </si>
  <si>
    <t>First Year Fees</t>
  </si>
  <si>
    <t>Leader</t>
  </si>
  <si>
    <t>MidMarket CAS</t>
  </si>
  <si>
    <t>Account name</t>
  </si>
  <si>
    <t>Opp Name</t>
  </si>
  <si>
    <t>Closed Date</t>
  </si>
  <si>
    <t>Service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</si>
</sst>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m/d/yy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sz val="8"/>
      <name val="Arial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0D0D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0" fontId="19" fillId="0" borderId="0"/>
    <xf numFmtId="0" fontId="1" fillId="0" borderId="0"/>
    <xf numFmtId="0" fontId="19" fillId="0" borderId="0"/>
    <xf numFmtId="0" fontId="20" fillId="0" borderId="0"/>
    <xf numFmtId="0" fontId="20" fillId="0" borderId="0"/>
    <xf numFmtId="0" fontId="18" fillId="0" borderId="0"/>
    <xf numFmtId="0" fontId="21" fillId="0" borderId="0"/>
    <xf numFmtId="0" fontId="21" fillId="0" borderId="0"/>
    <xf numFmtId="0" fontId="18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8" fillId="0" borderId="0"/>
    <xf numFmtId="0" fontId="22" fillId="0" borderId="0"/>
    <xf numFmtId="0" fontId="22" fillId="0" borderId="0"/>
    <xf numFmtId="0" fontId="25" fillId="0" borderId="0"/>
    <xf numFmtId="0" fontId="22" fillId="0" borderId="0"/>
    <xf numFmtId="0" fontId="18" fillId="0" borderId="0"/>
    <xf numFmtId="0" fontId="26" fillId="0" borderId="0"/>
    <xf numFmtId="44" fontId="26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center" vertical="center"/>
    </xf>
    <xf numFmtId="0" fontId="24" fillId="33" borderId="0" xfId="0" applyFont="1" applyFill="1" applyAlignment="1">
      <alignment horizontal="center" vertical="center"/>
    </xf>
    <xf numFmtId="164" fontId="24" fillId="33" borderId="0" xfId="0" applyNumberFormat="1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14" fontId="23" fillId="0" borderId="0" xfId="0" applyNumberFormat="1" applyFont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" fontId="23" fillId="0" borderId="0" xfId="0" applyNumberFormat="1" applyFont="1" applyAlignment="1">
      <alignment horizontal="center" vertical="center"/>
    </xf>
    <xf numFmtId="22" fontId="23" fillId="0" borderId="0" xfId="0" applyNumberFormat="1" applyFont="1" applyAlignment="1">
      <alignment horizontal="center" vertical="center"/>
    </xf>
    <xf numFmtId="1" fontId="24" fillId="33" borderId="0" xfId="0" applyNumberFormat="1" applyFont="1" applyFill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27" fillId="34" borderId="10" xfId="63" applyFont="1" applyFill="1" applyBorder="1" applyAlignment="1">
      <alignment horizontal="center" vertical="center" wrapText="1"/>
    </xf>
    <xf numFmtId="165" fontId="27" fillId="34" borderId="11" xfId="63" applyNumberFormat="1" applyFont="1" applyFill="1" applyBorder="1" applyAlignment="1">
      <alignment horizontal="center" vertical="center" wrapText="1"/>
    </xf>
    <xf numFmtId="0" fontId="26" fillId="35" borderId="0" xfId="63" applyFill="1"/>
    <xf numFmtId="165" fontId="27" fillId="34" borderId="10" xfId="63" applyNumberFormat="1" applyFont="1" applyFill="1" applyBorder="1" applyAlignment="1">
      <alignment horizontal="center" vertical="center" wrapText="1"/>
    </xf>
    <xf numFmtId="166" fontId="27" fillId="34" borderId="10" xfId="63" applyNumberFormat="1" applyFont="1" applyFill="1" applyBorder="1" applyAlignment="1">
      <alignment horizontal="center" vertical="center" wrapText="1"/>
    </xf>
    <xf numFmtId="0" fontId="27" fillId="34" borderId="13" xfId="63" applyFont="1" applyFill="1" applyBorder="1" applyAlignment="1">
      <alignment horizontal="center" vertical="center" wrapText="1"/>
    </xf>
    <xf numFmtId="0" fontId="27" fillId="35" borderId="0" xfId="63" applyFont="1" applyFill="1"/>
    <xf numFmtId="0" fontId="26" fillId="36" borderId="12" xfId="63" applyFill="1" applyBorder="1" applyAlignment="1">
      <alignment horizontal="left"/>
    </xf>
    <xf numFmtId="165" fontId="26" fillId="36" borderId="12" xfId="63" applyNumberFormat="1" applyFill="1" applyBorder="1" applyAlignment="1">
      <alignment horizontal="center"/>
    </xf>
    <xf numFmtId="0" fontId="26" fillId="36" borderId="12" xfId="63" applyFill="1" applyBorder="1" applyAlignment="1">
      <alignment horizontal="center" wrapText="1"/>
    </xf>
    <xf numFmtId="0" fontId="26" fillId="36" borderId="12" xfId="63" applyFill="1" applyBorder="1" applyAlignment="1">
      <alignment horizontal="center"/>
    </xf>
    <xf numFmtId="0" fontId="26" fillId="36" borderId="12" xfId="63" applyFill="1" applyBorder="1" applyAlignment="1">
      <alignment wrapText="1"/>
    </xf>
    <xf numFmtId="166" fontId="26" fillId="36" borderId="12" xfId="63" applyNumberFormat="1" applyFill="1" applyBorder="1" applyAlignment="1">
      <alignment horizontal="center"/>
    </xf>
    <xf numFmtId="0" fontId="28" fillId="35" borderId="0" xfId="63" applyFont="1" applyFill="1"/>
    <xf numFmtId="0" fontId="26" fillId="0" borderId="0" xfId="63"/>
    <xf numFmtId="0" fontId="26" fillId="37" borderId="12" xfId="63" applyFill="1" applyBorder="1"/>
    <xf numFmtId="165" fontId="26" fillId="37" borderId="12" xfId="63" applyNumberFormat="1" applyFill="1" applyBorder="1" applyAlignment="1">
      <alignment horizontal="center"/>
    </xf>
    <xf numFmtId="0" fontId="26" fillId="37" borderId="12" xfId="63" applyFill="1" applyBorder="1" applyAlignment="1">
      <alignment horizontal="center" wrapText="1"/>
    </xf>
    <xf numFmtId="0" fontId="26" fillId="37" borderId="12" xfId="63" applyFill="1" applyBorder="1" applyAlignment="1">
      <alignment horizontal="center"/>
    </xf>
    <xf numFmtId="166" fontId="26" fillId="37" borderId="12" xfId="63" applyNumberFormat="1" applyFill="1" applyBorder="1" applyAlignment="1">
      <alignment horizontal="center"/>
    </xf>
    <xf numFmtId="0" fontId="26" fillId="37" borderId="12" xfId="63" applyFill="1" applyBorder="1" applyAlignment="1">
      <alignment wrapText="1"/>
    </xf>
    <xf numFmtId="0" fontId="26" fillId="35" borderId="17" xfId="63" applyFill="1" applyBorder="1"/>
    <xf numFmtId="0" fontId="26" fillId="35" borderId="12" xfId="63" applyFill="1" applyBorder="1"/>
    <xf numFmtId="0" fontId="26" fillId="37" borderId="15" xfId="63" applyFill="1" applyBorder="1" applyAlignment="1">
      <alignment wrapText="1"/>
    </xf>
    <xf numFmtId="165" fontId="26" fillId="37" borderId="15" xfId="63" applyNumberFormat="1" applyFill="1" applyBorder="1" applyAlignment="1">
      <alignment horizontal="center"/>
    </xf>
    <xf numFmtId="0" fontId="26" fillId="37" borderId="15" xfId="63" applyFill="1" applyBorder="1" applyAlignment="1">
      <alignment horizontal="center" wrapText="1"/>
    </xf>
    <xf numFmtId="0" fontId="26" fillId="37" borderId="15" xfId="63" applyFill="1" applyBorder="1" applyAlignment="1">
      <alignment horizontal="center"/>
    </xf>
    <xf numFmtId="166" fontId="26" fillId="37" borderId="15" xfId="63" applyNumberFormat="1" applyFill="1" applyBorder="1" applyAlignment="1">
      <alignment horizontal="center"/>
    </xf>
    <xf numFmtId="0" fontId="28" fillId="0" borderId="14" xfId="63" applyFont="1" applyBorder="1"/>
    <xf numFmtId="0" fontId="28" fillId="0" borderId="15" xfId="63" applyFont="1" applyBorder="1"/>
    <xf numFmtId="0" fontId="26" fillId="0" borderId="15" xfId="63" applyBorder="1"/>
    <xf numFmtId="0" fontId="27" fillId="0" borderId="0" xfId="63" applyFont="1" applyAlignment="1">
      <alignment wrapText="1"/>
    </xf>
    <xf numFmtId="165" fontId="26" fillId="0" borderId="0" xfId="63" applyNumberFormat="1" applyAlignment="1">
      <alignment horizontal="center"/>
    </xf>
    <xf numFmtId="0" fontId="26" fillId="0" borderId="0" xfId="63" applyAlignment="1">
      <alignment horizontal="center" wrapText="1"/>
    </xf>
    <xf numFmtId="0" fontId="26" fillId="0" borderId="0" xfId="63" applyAlignment="1">
      <alignment horizontal="center"/>
    </xf>
    <xf numFmtId="0" fontId="26" fillId="0" borderId="0" xfId="63" applyAlignment="1">
      <alignment wrapText="1"/>
    </xf>
    <xf numFmtId="166" fontId="26" fillId="0" borderId="0" xfId="63" applyNumberFormat="1" applyAlignment="1">
      <alignment horizontal="center"/>
    </xf>
    <xf numFmtId="14" fontId="27" fillId="34" borderId="10" xfId="63" applyNumberFormat="1" applyFont="1" applyFill="1" applyBorder="1" applyAlignment="1">
      <alignment horizontal="center" vertical="center" wrapText="1"/>
    </xf>
    <xf numFmtId="0" fontId="26" fillId="35" borderId="12" xfId="63" applyFill="1" applyBorder="1" applyAlignment="1">
      <alignment wrapText="1"/>
    </xf>
    <xf numFmtId="165" fontId="26" fillId="35" borderId="12" xfId="63" applyNumberFormat="1" applyFill="1" applyBorder="1" applyAlignment="1">
      <alignment horizontal="center"/>
    </xf>
    <xf numFmtId="14" fontId="26" fillId="35" borderId="12" xfId="63" applyNumberFormat="1" applyFill="1" applyBorder="1" applyAlignment="1">
      <alignment horizontal="center" wrapText="1"/>
    </xf>
    <xf numFmtId="14" fontId="26" fillId="35" borderId="12" xfId="63" applyNumberFormat="1" applyFill="1" applyBorder="1" applyAlignment="1">
      <alignment horizontal="center"/>
    </xf>
    <xf numFmtId="0" fontId="26" fillId="35" borderId="12" xfId="63" applyFill="1" applyBorder="1" applyAlignment="1">
      <alignment horizontal="center"/>
    </xf>
    <xf numFmtId="0" fontId="26" fillId="35" borderId="12" xfId="63" applyFill="1" applyBorder="1" applyAlignment="1">
      <alignment horizontal="center" wrapText="1"/>
    </xf>
    <xf numFmtId="165" fontId="26" fillId="35" borderId="12" xfId="63" applyNumberFormat="1" applyFill="1" applyBorder="1" applyAlignment="1">
      <alignment horizontal="left" wrapText="1"/>
    </xf>
    <xf numFmtId="166" fontId="26" fillId="35" borderId="12" xfId="63" applyNumberFormat="1" applyFill="1" applyBorder="1" applyAlignment="1">
      <alignment horizontal="center"/>
    </xf>
    <xf numFmtId="0" fontId="26" fillId="35" borderId="16" xfId="63" applyFill="1" applyBorder="1" applyAlignment="1">
      <alignment horizontal="center"/>
    </xf>
    <xf numFmtId="0" fontId="26" fillId="35" borderId="15" xfId="63" applyFill="1" applyBorder="1"/>
    <xf numFmtId="0" fontId="26" fillId="35" borderId="15" xfId="63" applyFill="1" applyBorder="1" applyAlignment="1">
      <alignment horizontal="center"/>
    </xf>
    <xf numFmtId="0" fontId="26" fillId="35" borderId="15" xfId="63" applyFill="1" applyBorder="1" applyAlignment="1">
      <alignment horizontal="center" wrapText="1"/>
    </xf>
    <xf numFmtId="0" fontId="26" fillId="35" borderId="15" xfId="63" applyFill="1" applyBorder="1" applyAlignment="1">
      <alignment wrapText="1"/>
    </xf>
    <xf numFmtId="14" fontId="26" fillId="0" borderId="0" xfId="63" applyNumberFormat="1"/>
    <xf numFmtId="0" fontId="27" fillId="0" borderId="10" xfId="63" applyFont="1" applyBorder="1"/>
    <xf numFmtId="0" fontId="27" fillId="0" borderId="0" xfId="63" applyFont="1"/>
    <xf numFmtId="165" fontId="26" fillId="0" borderId="0" xfId="63" applyNumberFormat="1"/>
    <xf numFmtId="166" fontId="26" fillId="35" borderId="15" xfId="63" applyNumberFormat="1" applyFill="1" applyBorder="1" applyAlignment="1">
      <alignment horizontal="center"/>
    </xf>
    <xf numFmtId="14" fontId="26" fillId="35" borderId="15" xfId="63" applyNumberFormat="1" applyFill="1" applyBorder="1" applyAlignment="1">
      <alignment horizontal="center"/>
    </xf>
  </cellXfs>
  <cellStyles count="6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 2" xfId="64" xr:uid="{FB5B3455-311A-46BD-BB79-4B089BE1CDBF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51" xr:uid="{C2A01474-0B51-4720-A45F-B21BFDF369CC}"/>
    <cellStyle name="Normal 11" xfId="52" xr:uid="{8CBA0F78-3E89-41AB-A87B-E3F2DEDE5C5C}"/>
    <cellStyle name="Normal 11 2" xfId="62" xr:uid="{24EFAC76-DE9A-4418-A6F1-D4745B90CDFA}"/>
    <cellStyle name="Normal 12" xfId="53" xr:uid="{F053A35B-6D5B-4883-BAD8-9BD228B618DF}"/>
    <cellStyle name="Normal 13" xfId="54" xr:uid="{36517D8D-3B7B-4289-90BC-4C7F343E201A}"/>
    <cellStyle name="Normal 14" xfId="55" xr:uid="{4CD01F7A-3474-4C7C-B6DA-B3FE058F3219}"/>
    <cellStyle name="Normal 15" xfId="56" xr:uid="{BF06739D-CD92-4214-8AE8-D6719F664D2F}"/>
    <cellStyle name="Normal 16" xfId="57" xr:uid="{0AB93286-E955-4FCC-B943-1CAE6C323681}"/>
    <cellStyle name="Normal 17" xfId="58" xr:uid="{2C32DAE5-0B93-42BA-AD3A-BD349944B359}"/>
    <cellStyle name="Normal 18" xfId="59" xr:uid="{0A38AF73-0A55-43A5-9332-57D41B760AC9}"/>
    <cellStyle name="Normal 19" xfId="60" xr:uid="{90F3CB0E-F172-40B8-9468-0072917EB792}"/>
    <cellStyle name="Normal 2" xfId="42" xr:uid="{00000000-0005-0000-0000-000025000000}"/>
    <cellStyle name="Normal 2 2" xfId="44" xr:uid="{0016C24B-48CA-4B94-99F7-E1570A17169D}"/>
    <cellStyle name="Normal 2 3" xfId="63" xr:uid="{BB1E06E1-64A2-4A85-86BA-FF31CC4E2D33}"/>
    <cellStyle name="Normal 20" xfId="61" xr:uid="{AA0A204F-338D-4B84-814F-EE81351A61A8}"/>
    <cellStyle name="Normal 3" xfId="43" xr:uid="{00000000-0005-0000-0000-000026000000}"/>
    <cellStyle name="Normal 4" xfId="45" xr:uid="{34B7FA0F-485E-4D1F-AD08-BE18E3BAF328}"/>
    <cellStyle name="Normal 5" xfId="46" xr:uid="{63B6AC36-F7F9-4C1D-933B-5642AD920CEC}"/>
    <cellStyle name="Normal 6" xfId="47" xr:uid="{73C67A44-420C-418B-8947-72F11C5EEA7D}"/>
    <cellStyle name="Normal 7" xfId="48" xr:uid="{4F752C9F-7AB6-47DD-9238-86BA5FBF230C}"/>
    <cellStyle name="Normal 8" xfId="49" xr:uid="{0E2F1511-4DC2-423C-83BC-4E6C6D990B4A}"/>
    <cellStyle name="Normal 9" xfId="50" xr:uid="{4EFD373B-52BA-49BE-96D5-F97E8A419FD2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0BBEE-5F03-4CC7-AD0B-D61997EB9223}">
  <sheetPr codeName="Sheet1">
    <pageSetUpPr fitToPage="1"/>
  </sheetPr>
  <dimension ref="A1:AB48"/>
  <sheetViews>
    <sheetView zoomScale="80" zoomScaleNormal="80" workbookViewId="0">
      <selection activeCell="A2" sqref="A2:XFD48"/>
    </sheetView>
  </sheetViews>
  <sheetFormatPr defaultColWidth="42.42578125" defaultRowHeight="15" x14ac:dyDescent="0.25"/>
  <cols>
    <col min="1" max="1" width="12.85546875" style="4" bestFit="1" customWidth="1"/>
    <col min="2" max="2" width="9.85546875" style="4" bestFit="1" customWidth="1"/>
    <col min="3" max="3" width="17.85546875" style="4" bestFit="1" customWidth="1"/>
    <col min="4" max="5" width="25.5703125" style="4" customWidth="1"/>
    <col min="6" max="7" width="42.42578125" style="4"/>
    <col min="8" max="9" width="42.42578125" style="6"/>
    <col min="10" max="10" width="15.5703125" style="4" bestFit="1" customWidth="1"/>
    <col min="11" max="11" width="17.140625" style="4" bestFit="1" customWidth="1"/>
    <col min="12" max="12" width="18.28515625" style="12" customWidth="1"/>
    <col min="13" max="13" width="24.28515625" style="4" customWidth="1"/>
    <col min="14" max="14" width="21.28515625" style="4" customWidth="1"/>
    <col min="16" max="16" width="32.85546875" style="4" customWidth="1"/>
    <col min="17" max="16384" width="42.42578125" style="4"/>
  </cols>
  <sheetData>
    <row r="1" spans="1:28" ht="30.75" customHeight="1" x14ac:dyDescent="0.25">
      <c r="A1" s="4" t="s">
        <v>19</v>
      </c>
      <c r="B1" s="2" t="s">
        <v>29</v>
      </c>
      <c r="C1" s="2" t="s">
        <v>122</v>
      </c>
      <c r="D1" s="2" t="s">
        <v>37</v>
      </c>
      <c r="E1" s="2" t="s">
        <v>123</v>
      </c>
      <c r="F1" s="2" t="s">
        <v>30</v>
      </c>
      <c r="G1" s="2" t="s">
        <v>31</v>
      </c>
      <c r="H1" s="3" t="s">
        <v>38</v>
      </c>
      <c r="I1" s="3" t="s">
        <v>28</v>
      </c>
      <c r="J1" s="2" t="s">
        <v>35</v>
      </c>
      <c r="K1" s="2" t="s">
        <v>36</v>
      </c>
      <c r="L1" s="11" t="s">
        <v>4</v>
      </c>
      <c r="M1" s="2" t="s">
        <v>33</v>
      </c>
      <c r="N1" s="2" t="s">
        <v>34</v>
      </c>
      <c r="O1" t="s">
        <v>124</v>
      </c>
      <c r="P1" s="2" t="s">
        <v>32</v>
      </c>
      <c r="Q1" s="2" t="s">
        <v>39</v>
      </c>
      <c r="R1" s="2" t="s">
        <v>40</v>
      </c>
      <c r="S1" s="4" t="s">
        <v>125</v>
      </c>
      <c r="T1" s="4" t="s">
        <v>7</v>
      </c>
      <c r="U1" s="4" t="s">
        <v>8</v>
      </c>
      <c r="V1" s="4" t="s">
        <v>9</v>
      </c>
      <c r="W1" s="4" t="s">
        <v>126</v>
      </c>
      <c r="X1" s="4" t="s">
        <v>10</v>
      </c>
      <c r="Y1" s="4" t="s">
        <v>127</v>
      </c>
      <c r="Z1" s="4" t="s">
        <v>128</v>
      </c>
      <c r="AA1" s="4" t="s">
        <v>129</v>
      </c>
      <c r="AB1" s="4" t="s">
        <v>20</v>
      </c>
    </row>
    <row r="2" spans="1:28" x14ac:dyDescent="0.25">
      <c r="A2" s="4" t="s">
        <v>121</v>
      </c>
      <c r="B2" s="1">
        <v>2792</v>
      </c>
      <c r="C2" s="1" t="s">
        <v>12</v>
      </c>
      <c r="D2" s="1" t="s">
        <v>41</v>
      </c>
      <c r="E2" s="1" t="s">
        <v>17</v>
      </c>
      <c r="F2" s="1" t="s">
        <v>130</v>
      </c>
      <c r="G2" s="1" t="s">
        <v>131</v>
      </c>
      <c r="H2" s="8">
        <v>250000</v>
      </c>
      <c r="I2" s="8">
        <f>H2</f>
        <v>250000</v>
      </c>
      <c r="J2" s="5">
        <v>44985</v>
      </c>
      <c r="K2" s="7">
        <v>45595</v>
      </c>
      <c r="L2" s="13"/>
      <c r="M2" s="1" t="s">
        <v>47</v>
      </c>
      <c r="N2" s="1" t="s">
        <v>47</v>
      </c>
      <c r="P2" s="1" t="s">
        <v>49</v>
      </c>
      <c r="Q2" s="4" t="s">
        <v>42</v>
      </c>
      <c r="R2" s="4" t="s">
        <v>13</v>
      </c>
    </row>
    <row r="3" spans="1:28" x14ac:dyDescent="0.25">
      <c r="A3" s="4" t="s">
        <v>121</v>
      </c>
      <c r="B3" s="4" t="s">
        <v>53</v>
      </c>
      <c r="C3" s="1" t="s">
        <v>12</v>
      </c>
      <c r="D3" s="4" t="s">
        <v>45</v>
      </c>
      <c r="E3" s="4" t="s">
        <v>18</v>
      </c>
      <c r="F3" s="4" t="s">
        <v>54</v>
      </c>
      <c r="G3" s="4" t="s">
        <v>55</v>
      </c>
      <c r="H3" s="6">
        <v>5000</v>
      </c>
      <c r="I3" s="8">
        <f t="shared" ref="I3:I48" si="0">H3</f>
        <v>5000</v>
      </c>
      <c r="J3" s="5">
        <v>45329</v>
      </c>
      <c r="L3" s="13"/>
      <c r="N3" s="4" t="s">
        <v>50</v>
      </c>
      <c r="P3" s="4" t="s">
        <v>49</v>
      </c>
      <c r="Q3" s="4" t="s">
        <v>42</v>
      </c>
      <c r="R3" s="4" t="s">
        <v>44</v>
      </c>
    </row>
    <row r="4" spans="1:28" x14ac:dyDescent="0.25">
      <c r="A4" s="4" t="s">
        <v>121</v>
      </c>
      <c r="B4" s="4" t="s">
        <v>53</v>
      </c>
      <c r="C4" s="1" t="s">
        <v>12</v>
      </c>
      <c r="D4" s="4" t="s">
        <v>45</v>
      </c>
      <c r="E4" s="4" t="s">
        <v>18</v>
      </c>
      <c r="F4" s="4" t="s">
        <v>56</v>
      </c>
      <c r="G4" s="4" t="s">
        <v>57</v>
      </c>
      <c r="H4" s="6">
        <v>6000</v>
      </c>
      <c r="I4" s="8">
        <f t="shared" si="0"/>
        <v>6000</v>
      </c>
      <c r="J4" s="5">
        <v>45329</v>
      </c>
      <c r="L4" s="13"/>
      <c r="N4" s="4" t="s">
        <v>50</v>
      </c>
      <c r="P4" s="4" t="s">
        <v>49</v>
      </c>
      <c r="Q4" s="4" t="s">
        <v>42</v>
      </c>
    </row>
    <row r="5" spans="1:28" x14ac:dyDescent="0.25">
      <c r="A5" s="4" t="s">
        <v>121</v>
      </c>
      <c r="B5" s="4" t="s">
        <v>53</v>
      </c>
      <c r="C5" s="1" t="s">
        <v>12</v>
      </c>
      <c r="D5" s="4" t="s">
        <v>41</v>
      </c>
      <c r="E5" s="1" t="s">
        <v>17</v>
      </c>
      <c r="F5" s="4" t="s">
        <v>61</v>
      </c>
      <c r="G5" s="4" t="s">
        <v>62</v>
      </c>
      <c r="H5" s="6">
        <v>25000</v>
      </c>
      <c r="I5" s="8">
        <f t="shared" si="0"/>
        <v>25000</v>
      </c>
      <c r="J5" s="5">
        <v>45329</v>
      </c>
      <c r="L5" s="13"/>
      <c r="N5" s="4" t="s">
        <v>50</v>
      </c>
      <c r="P5" s="4" t="s">
        <v>49</v>
      </c>
      <c r="Q5" s="4" t="s">
        <v>42</v>
      </c>
      <c r="R5" s="4" t="s">
        <v>63</v>
      </c>
    </row>
    <row r="6" spans="1:28" x14ac:dyDescent="0.25">
      <c r="A6" s="4" t="s">
        <v>121</v>
      </c>
      <c r="B6" s="4" t="s">
        <v>53</v>
      </c>
      <c r="C6" s="1" t="s">
        <v>12</v>
      </c>
      <c r="D6" s="4" t="s">
        <v>41</v>
      </c>
      <c r="E6" s="1" t="s">
        <v>17</v>
      </c>
      <c r="F6" s="4" t="s">
        <v>64</v>
      </c>
      <c r="G6" s="4" t="s">
        <v>65</v>
      </c>
      <c r="H6" s="6">
        <v>40000</v>
      </c>
      <c r="I6" s="8">
        <f t="shared" si="0"/>
        <v>40000</v>
      </c>
      <c r="J6" s="5">
        <v>45329</v>
      </c>
      <c r="L6" s="13"/>
      <c r="N6" s="4" t="s">
        <v>59</v>
      </c>
      <c r="P6" s="4" t="s">
        <v>49</v>
      </c>
      <c r="Q6" s="4" t="s">
        <v>43</v>
      </c>
      <c r="R6" s="4" t="s">
        <v>15</v>
      </c>
    </row>
    <row r="7" spans="1:28" x14ac:dyDescent="0.25">
      <c r="A7" s="4" t="s">
        <v>121</v>
      </c>
      <c r="B7" s="4" t="s">
        <v>53</v>
      </c>
      <c r="C7" s="1" t="s">
        <v>12</v>
      </c>
      <c r="D7" s="4" t="s">
        <v>41</v>
      </c>
      <c r="E7" s="1" t="s">
        <v>17</v>
      </c>
      <c r="F7" s="4" t="s">
        <v>58</v>
      </c>
      <c r="G7" s="4" t="s">
        <v>66</v>
      </c>
      <c r="H7" s="6">
        <v>60000</v>
      </c>
      <c r="I7" s="8">
        <f t="shared" si="0"/>
        <v>60000</v>
      </c>
      <c r="J7" s="5">
        <v>45329</v>
      </c>
      <c r="K7" s="9"/>
      <c r="L7" s="13"/>
      <c r="N7" s="4" t="s">
        <v>59</v>
      </c>
      <c r="P7" s="4" t="s">
        <v>49</v>
      </c>
      <c r="Q7" s="4" t="s">
        <v>42</v>
      </c>
      <c r="R7" s="4" t="s">
        <v>60</v>
      </c>
    </row>
    <row r="8" spans="1:28" x14ac:dyDescent="0.25">
      <c r="A8" s="4" t="s">
        <v>121</v>
      </c>
      <c r="C8" s="1" t="s">
        <v>12</v>
      </c>
      <c r="D8" s="4" t="s">
        <v>45</v>
      </c>
      <c r="E8" s="4" t="s">
        <v>18</v>
      </c>
      <c r="F8" s="4" t="s">
        <v>67</v>
      </c>
      <c r="G8" s="4" t="s">
        <v>68</v>
      </c>
      <c r="H8" s="6">
        <v>20000</v>
      </c>
      <c r="I8" s="8">
        <f t="shared" si="0"/>
        <v>20000</v>
      </c>
      <c r="J8" s="5">
        <v>45338</v>
      </c>
      <c r="L8" s="13"/>
      <c r="N8" s="4" t="s">
        <v>26</v>
      </c>
      <c r="P8" s="4" t="s">
        <v>49</v>
      </c>
      <c r="Q8" s="4" t="s">
        <v>43</v>
      </c>
      <c r="R8" s="4" t="s">
        <v>69</v>
      </c>
    </row>
    <row r="9" spans="1:28" x14ac:dyDescent="0.25">
      <c r="A9" s="4" t="s">
        <v>121</v>
      </c>
      <c r="C9" s="1" t="s">
        <v>12</v>
      </c>
      <c r="D9" s="4" t="s">
        <v>41</v>
      </c>
      <c r="E9" s="1" t="s">
        <v>17</v>
      </c>
      <c r="F9" s="4" t="s">
        <v>70</v>
      </c>
      <c r="G9" s="4" t="s">
        <v>71</v>
      </c>
      <c r="H9" s="6">
        <v>40000</v>
      </c>
      <c r="I9" s="8">
        <f t="shared" si="0"/>
        <v>40000</v>
      </c>
      <c r="J9" s="5">
        <v>45338</v>
      </c>
      <c r="K9" s="5">
        <v>45463</v>
      </c>
      <c r="L9" s="13"/>
      <c r="N9" s="4" t="s">
        <v>51</v>
      </c>
      <c r="P9" s="4" t="s">
        <v>49</v>
      </c>
      <c r="Q9" s="4" t="s">
        <v>42</v>
      </c>
      <c r="R9" s="4" t="s">
        <v>72</v>
      </c>
    </row>
    <row r="10" spans="1:28" x14ac:dyDescent="0.25">
      <c r="A10" s="4" t="s">
        <v>121</v>
      </c>
      <c r="C10" s="1" t="s">
        <v>12</v>
      </c>
      <c r="D10" s="4" t="s">
        <v>45</v>
      </c>
      <c r="E10" s="4" t="s">
        <v>18</v>
      </c>
      <c r="F10" s="4" t="s">
        <v>140</v>
      </c>
      <c r="G10" s="4" t="s">
        <v>71</v>
      </c>
      <c r="H10" s="6">
        <v>25000</v>
      </c>
      <c r="I10" s="8">
        <f t="shared" si="0"/>
        <v>25000</v>
      </c>
      <c r="J10" s="5">
        <v>45338</v>
      </c>
      <c r="L10" s="13"/>
      <c r="N10" s="4" t="s">
        <v>51</v>
      </c>
      <c r="P10" s="4" t="s">
        <v>49</v>
      </c>
      <c r="Q10" s="4" t="s">
        <v>43</v>
      </c>
      <c r="R10" s="4" t="s">
        <v>73</v>
      </c>
    </row>
    <row r="11" spans="1:28" x14ac:dyDescent="0.25">
      <c r="A11" s="4" t="s">
        <v>121</v>
      </c>
      <c r="B11" s="4">
        <v>2719</v>
      </c>
      <c r="C11" s="1" t="s">
        <v>12</v>
      </c>
      <c r="D11" s="4" t="s">
        <v>41</v>
      </c>
      <c r="E11" s="1" t="s">
        <v>17</v>
      </c>
      <c r="F11" s="4" t="s">
        <v>132</v>
      </c>
      <c r="G11" s="4" t="s">
        <v>133</v>
      </c>
      <c r="H11" s="6">
        <v>46567</v>
      </c>
      <c r="I11" s="8">
        <f t="shared" si="0"/>
        <v>46567</v>
      </c>
      <c r="J11" s="5">
        <v>45358</v>
      </c>
      <c r="K11" s="5">
        <v>45564</v>
      </c>
      <c r="L11" s="13"/>
      <c r="M11" s="4" t="s">
        <v>47</v>
      </c>
      <c r="N11" s="4" t="s">
        <v>47</v>
      </c>
      <c r="P11" s="4" t="s">
        <v>49</v>
      </c>
      <c r="Q11" s="4" t="s">
        <v>42</v>
      </c>
      <c r="R11" s="4" t="s">
        <v>48</v>
      </c>
    </row>
    <row r="12" spans="1:28" x14ac:dyDescent="0.25">
      <c r="A12" s="4" t="s">
        <v>121</v>
      </c>
      <c r="B12" s="4">
        <v>2689</v>
      </c>
      <c r="C12" s="1" t="s">
        <v>12</v>
      </c>
      <c r="D12" s="4" t="s">
        <v>41</v>
      </c>
      <c r="E12" s="1" t="s">
        <v>17</v>
      </c>
      <c r="F12" s="4" t="s">
        <v>74</v>
      </c>
      <c r="G12" s="4" t="s">
        <v>52</v>
      </c>
      <c r="H12" s="6">
        <v>25000</v>
      </c>
      <c r="I12" s="8">
        <f t="shared" si="0"/>
        <v>25000</v>
      </c>
      <c r="J12" s="4" t="s">
        <v>76</v>
      </c>
      <c r="K12" s="5">
        <v>45290</v>
      </c>
      <c r="L12" s="13"/>
      <c r="M12" s="4" t="s">
        <v>26</v>
      </c>
      <c r="N12" s="4" t="s">
        <v>75</v>
      </c>
      <c r="P12" s="4" t="s">
        <v>49</v>
      </c>
      <c r="Q12" s="4" t="s">
        <v>42</v>
      </c>
      <c r="R12" s="4" t="s">
        <v>13</v>
      </c>
    </row>
    <row r="13" spans="1:28" x14ac:dyDescent="0.25">
      <c r="A13" s="4" t="s">
        <v>121</v>
      </c>
      <c r="B13" s="1">
        <v>2609</v>
      </c>
      <c r="C13" s="1" t="s">
        <v>12</v>
      </c>
      <c r="D13" s="1" t="s">
        <v>41</v>
      </c>
      <c r="E13" s="1" t="s">
        <v>17</v>
      </c>
      <c r="F13" s="1" t="s">
        <v>77</v>
      </c>
      <c r="G13" s="1" t="s">
        <v>78</v>
      </c>
      <c r="H13" s="8">
        <v>150</v>
      </c>
      <c r="I13" s="8">
        <f t="shared" si="0"/>
        <v>150</v>
      </c>
      <c r="K13" s="7">
        <v>45317</v>
      </c>
      <c r="L13" s="13"/>
      <c r="N13" s="1" t="s">
        <v>47</v>
      </c>
      <c r="P13" s="1" t="s">
        <v>49</v>
      </c>
      <c r="Q13" s="4" t="s">
        <v>42</v>
      </c>
      <c r="R13" s="4" t="s">
        <v>13</v>
      </c>
    </row>
    <row r="14" spans="1:28" x14ac:dyDescent="0.25">
      <c r="A14" s="4" t="s">
        <v>121</v>
      </c>
      <c r="B14" s="4">
        <v>2611</v>
      </c>
      <c r="C14" s="1" t="s">
        <v>12</v>
      </c>
      <c r="D14" s="4" t="s">
        <v>45</v>
      </c>
      <c r="E14" s="4" t="s">
        <v>18</v>
      </c>
      <c r="F14" s="4" t="s">
        <v>79</v>
      </c>
      <c r="G14" s="4" t="s">
        <v>80</v>
      </c>
      <c r="H14" s="6">
        <v>1000</v>
      </c>
      <c r="I14" s="8">
        <f t="shared" si="0"/>
        <v>1000</v>
      </c>
      <c r="K14" s="10">
        <v>45219</v>
      </c>
      <c r="L14" s="13"/>
      <c r="N14" s="4" t="s">
        <v>75</v>
      </c>
      <c r="P14" s="4" t="s">
        <v>49</v>
      </c>
      <c r="Q14" s="4" t="s">
        <v>43</v>
      </c>
      <c r="R14" s="4" t="s">
        <v>44</v>
      </c>
    </row>
    <row r="15" spans="1:28" x14ac:dyDescent="0.25">
      <c r="A15" s="4" t="s">
        <v>121</v>
      </c>
      <c r="B15" s="1">
        <v>2693</v>
      </c>
      <c r="C15" s="1" t="s">
        <v>12</v>
      </c>
      <c r="D15" s="1" t="s">
        <v>45</v>
      </c>
      <c r="E15" s="4" t="s">
        <v>18</v>
      </c>
      <c r="F15" s="1" t="s">
        <v>81</v>
      </c>
      <c r="G15" s="1" t="s">
        <v>82</v>
      </c>
      <c r="H15" s="8">
        <v>1500</v>
      </c>
      <c r="I15" s="8">
        <f t="shared" si="0"/>
        <v>1500</v>
      </c>
      <c r="K15" s="7">
        <v>45274</v>
      </c>
      <c r="L15" s="13"/>
      <c r="N15" s="1" t="s">
        <v>83</v>
      </c>
      <c r="P15" s="1" t="s">
        <v>49</v>
      </c>
      <c r="Q15" s="4" t="s">
        <v>42</v>
      </c>
      <c r="R15" s="4" t="s">
        <v>13</v>
      </c>
    </row>
    <row r="16" spans="1:28" x14ac:dyDescent="0.25">
      <c r="A16" s="4" t="s">
        <v>121</v>
      </c>
      <c r="B16" s="1">
        <v>2631</v>
      </c>
      <c r="C16" s="1" t="s">
        <v>12</v>
      </c>
      <c r="D16" s="1" t="s">
        <v>45</v>
      </c>
      <c r="E16" s="4" t="s">
        <v>18</v>
      </c>
      <c r="F16" s="1" t="s">
        <v>84</v>
      </c>
      <c r="G16" s="1" t="s">
        <v>85</v>
      </c>
      <c r="H16" s="8">
        <v>8000</v>
      </c>
      <c r="I16" s="8">
        <f t="shared" si="0"/>
        <v>8000</v>
      </c>
      <c r="K16" s="7">
        <v>45229</v>
      </c>
      <c r="L16" s="13"/>
      <c r="N16" s="1" t="s">
        <v>83</v>
      </c>
      <c r="P16" s="1" t="s">
        <v>49</v>
      </c>
      <c r="Q16" s="4" t="s">
        <v>42</v>
      </c>
      <c r="R16" s="4" t="s">
        <v>48</v>
      </c>
    </row>
    <row r="17" spans="1:18" x14ac:dyDescent="0.25">
      <c r="A17" s="4" t="s">
        <v>121</v>
      </c>
      <c r="B17" s="4">
        <v>2453</v>
      </c>
      <c r="C17" s="1" t="s">
        <v>12</v>
      </c>
      <c r="D17" s="4" t="s">
        <v>41</v>
      </c>
      <c r="E17" s="1" t="s">
        <v>17</v>
      </c>
      <c r="F17" s="4" t="s">
        <v>86</v>
      </c>
      <c r="G17" s="4" t="s">
        <v>87</v>
      </c>
      <c r="H17" s="6">
        <v>8500</v>
      </c>
      <c r="I17" s="8">
        <f t="shared" si="0"/>
        <v>8500</v>
      </c>
      <c r="K17" s="10">
        <v>45128</v>
      </c>
      <c r="L17" s="13"/>
      <c r="N17" s="4" t="s">
        <v>75</v>
      </c>
      <c r="P17" s="4" t="s">
        <v>49</v>
      </c>
      <c r="Q17" s="4" t="s">
        <v>43</v>
      </c>
    </row>
    <row r="18" spans="1:18" x14ac:dyDescent="0.25">
      <c r="A18" s="4" t="s">
        <v>121</v>
      </c>
      <c r="B18" s="1">
        <v>2689</v>
      </c>
      <c r="C18" s="1" t="s">
        <v>12</v>
      </c>
      <c r="D18" s="1" t="s">
        <v>45</v>
      </c>
      <c r="E18" s="4" t="s">
        <v>18</v>
      </c>
      <c r="F18" s="1" t="s">
        <v>74</v>
      </c>
      <c r="G18" s="1" t="s">
        <v>89</v>
      </c>
      <c r="H18" s="8">
        <v>24500</v>
      </c>
      <c r="I18" s="8">
        <f t="shared" si="0"/>
        <v>24500</v>
      </c>
      <c r="K18" s="7">
        <v>45274</v>
      </c>
      <c r="L18" s="13"/>
      <c r="N18" s="1" t="s">
        <v>75</v>
      </c>
      <c r="P18" s="1" t="s">
        <v>49</v>
      </c>
      <c r="Q18" s="4" t="s">
        <v>42</v>
      </c>
      <c r="R18" s="4" t="s">
        <v>90</v>
      </c>
    </row>
    <row r="19" spans="1:18" x14ac:dyDescent="0.25">
      <c r="A19" s="4" t="s">
        <v>121</v>
      </c>
      <c r="B19" s="1">
        <v>2802</v>
      </c>
      <c r="C19" s="1" t="s">
        <v>12</v>
      </c>
      <c r="D19" s="1" t="s">
        <v>41</v>
      </c>
      <c r="E19" s="1" t="s">
        <v>17</v>
      </c>
      <c r="F19" s="1" t="s">
        <v>134</v>
      </c>
      <c r="G19" s="1" t="s">
        <v>135</v>
      </c>
      <c r="H19" s="8">
        <v>15000</v>
      </c>
      <c r="I19" s="8">
        <f t="shared" si="0"/>
        <v>15000</v>
      </c>
      <c r="J19" s="5">
        <v>45358</v>
      </c>
      <c r="K19" s="7">
        <v>45288</v>
      </c>
      <c r="L19" s="13"/>
      <c r="N19" s="1" t="s">
        <v>47</v>
      </c>
      <c r="P19" s="1" t="s">
        <v>27</v>
      </c>
      <c r="Q19" s="4" t="s">
        <v>42</v>
      </c>
      <c r="R19" s="4" t="s">
        <v>48</v>
      </c>
    </row>
    <row r="20" spans="1:18" x14ac:dyDescent="0.25">
      <c r="A20" s="4" t="s">
        <v>121</v>
      </c>
      <c r="B20" s="4">
        <v>2780</v>
      </c>
      <c r="C20" s="1" t="s">
        <v>12</v>
      </c>
      <c r="D20" s="4" t="s">
        <v>41</v>
      </c>
      <c r="E20" s="1" t="s">
        <v>17</v>
      </c>
      <c r="F20" s="4" t="s">
        <v>136</v>
      </c>
      <c r="G20" s="4" t="s">
        <v>137</v>
      </c>
      <c r="H20" s="6">
        <v>24550</v>
      </c>
      <c r="I20" s="8">
        <f t="shared" si="0"/>
        <v>24550</v>
      </c>
      <c r="J20" s="5">
        <v>45366</v>
      </c>
      <c r="K20" s="5">
        <v>45444</v>
      </c>
      <c r="L20" s="13"/>
      <c r="M20" s="4" t="s">
        <v>47</v>
      </c>
      <c r="N20" s="4" t="s">
        <v>47</v>
      </c>
      <c r="P20" s="4" t="s">
        <v>27</v>
      </c>
      <c r="Q20" s="4" t="s">
        <v>46</v>
      </c>
    </row>
    <row r="21" spans="1:18" x14ac:dyDescent="0.25">
      <c r="A21" s="4" t="s">
        <v>121</v>
      </c>
      <c r="B21" s="4">
        <v>2461</v>
      </c>
      <c r="C21" s="1" t="s">
        <v>12</v>
      </c>
      <c r="D21" s="4" t="s">
        <v>41</v>
      </c>
      <c r="E21" s="1" t="s">
        <v>17</v>
      </c>
      <c r="F21" s="4" t="s">
        <v>92</v>
      </c>
      <c r="G21" s="4" t="s">
        <v>93</v>
      </c>
      <c r="H21" s="6">
        <v>2709</v>
      </c>
      <c r="I21" s="8">
        <f t="shared" si="0"/>
        <v>2709</v>
      </c>
      <c r="K21" s="10">
        <v>45215</v>
      </c>
      <c r="L21" s="13"/>
      <c r="N21" s="4" t="s">
        <v>47</v>
      </c>
      <c r="P21" s="4" t="s">
        <v>27</v>
      </c>
      <c r="Q21" s="4" t="s">
        <v>42</v>
      </c>
      <c r="R21" s="4" t="s">
        <v>91</v>
      </c>
    </row>
    <row r="22" spans="1:18" x14ac:dyDescent="0.25">
      <c r="A22" s="4" t="s">
        <v>121</v>
      </c>
      <c r="B22" s="1">
        <v>2700</v>
      </c>
      <c r="C22" s="1" t="s">
        <v>12</v>
      </c>
      <c r="D22" s="1" t="s">
        <v>45</v>
      </c>
      <c r="E22" s="4" t="s">
        <v>18</v>
      </c>
      <c r="F22" s="1" t="s">
        <v>94</v>
      </c>
      <c r="G22" s="1" t="s">
        <v>95</v>
      </c>
      <c r="H22" s="8">
        <v>2750</v>
      </c>
      <c r="I22" s="8">
        <f t="shared" si="0"/>
        <v>2750</v>
      </c>
      <c r="K22" s="7">
        <v>45280</v>
      </c>
      <c r="L22" s="13"/>
      <c r="N22" s="1" t="s">
        <v>83</v>
      </c>
      <c r="P22" s="4" t="s">
        <v>27</v>
      </c>
      <c r="Q22" s="4" t="s">
        <v>42</v>
      </c>
      <c r="R22" s="4" t="s">
        <v>13</v>
      </c>
    </row>
    <row r="23" spans="1:18" x14ac:dyDescent="0.25">
      <c r="A23" s="4" t="s">
        <v>121</v>
      </c>
      <c r="B23" s="1">
        <v>2729</v>
      </c>
      <c r="C23" s="1" t="s">
        <v>12</v>
      </c>
      <c r="D23" s="1" t="s">
        <v>138</v>
      </c>
      <c r="E23" s="1" t="s">
        <v>11</v>
      </c>
      <c r="F23" s="1" t="s">
        <v>96</v>
      </c>
      <c r="G23" s="1" t="s">
        <v>97</v>
      </c>
      <c r="H23" s="8">
        <v>2984</v>
      </c>
      <c r="I23" s="8">
        <f t="shared" si="0"/>
        <v>2984</v>
      </c>
      <c r="K23" s="7">
        <v>45323</v>
      </c>
      <c r="L23" s="13"/>
      <c r="M23" s="1" t="s">
        <v>47</v>
      </c>
      <c r="N23" s="1" t="s">
        <v>47</v>
      </c>
      <c r="P23" s="4" t="s">
        <v>27</v>
      </c>
      <c r="Q23" s="4" t="s">
        <v>42</v>
      </c>
      <c r="R23" s="4" t="s">
        <v>90</v>
      </c>
    </row>
    <row r="24" spans="1:18" x14ac:dyDescent="0.25">
      <c r="A24" s="4" t="s">
        <v>121</v>
      </c>
      <c r="B24" s="4">
        <v>2575</v>
      </c>
      <c r="C24" s="1" t="s">
        <v>12</v>
      </c>
      <c r="D24" s="1" t="s">
        <v>138</v>
      </c>
      <c r="E24" s="1" t="s">
        <v>11</v>
      </c>
      <c r="F24" s="4" t="s">
        <v>98</v>
      </c>
      <c r="G24" s="4" t="s">
        <v>99</v>
      </c>
      <c r="H24" s="6">
        <v>4444</v>
      </c>
      <c r="I24" s="8">
        <f t="shared" si="0"/>
        <v>4444</v>
      </c>
      <c r="K24" s="10">
        <v>45215</v>
      </c>
      <c r="L24" s="13"/>
      <c r="N24" s="4" t="s">
        <v>47</v>
      </c>
      <c r="P24" s="4" t="s">
        <v>27</v>
      </c>
      <c r="Q24" s="4" t="s">
        <v>42</v>
      </c>
      <c r="R24" s="4" t="s">
        <v>13</v>
      </c>
    </row>
    <row r="25" spans="1:18" x14ac:dyDescent="0.25">
      <c r="A25" s="4" t="s">
        <v>121</v>
      </c>
      <c r="B25" s="1">
        <v>2712</v>
      </c>
      <c r="C25" s="1" t="s">
        <v>12</v>
      </c>
      <c r="D25" s="1" t="s">
        <v>41</v>
      </c>
      <c r="E25" s="1" t="s">
        <v>17</v>
      </c>
      <c r="F25" s="1" t="s">
        <v>100</v>
      </c>
      <c r="G25" s="1" t="s">
        <v>101</v>
      </c>
      <c r="H25" s="8">
        <v>4548</v>
      </c>
      <c r="I25" s="8">
        <f t="shared" si="0"/>
        <v>4548</v>
      </c>
      <c r="K25" s="7">
        <v>45327</v>
      </c>
      <c r="L25" s="13"/>
      <c r="N25" s="1" t="s">
        <v>47</v>
      </c>
      <c r="P25" s="1" t="s">
        <v>27</v>
      </c>
      <c r="Q25" s="4" t="s">
        <v>42</v>
      </c>
      <c r="R25" s="4" t="s">
        <v>48</v>
      </c>
    </row>
    <row r="26" spans="1:18" ht="18.75" customHeight="1" x14ac:dyDescent="0.25">
      <c r="A26" s="4" t="s">
        <v>121</v>
      </c>
      <c r="B26" s="4">
        <v>2436</v>
      </c>
      <c r="C26" s="1" t="s">
        <v>12</v>
      </c>
      <c r="D26" s="4" t="s">
        <v>41</v>
      </c>
      <c r="E26" s="1" t="s">
        <v>17</v>
      </c>
      <c r="F26" s="4" t="s">
        <v>102</v>
      </c>
      <c r="G26" s="4" t="s">
        <v>103</v>
      </c>
      <c r="H26" s="6">
        <v>4549</v>
      </c>
      <c r="I26" s="8">
        <f t="shared" si="0"/>
        <v>4549</v>
      </c>
      <c r="K26" s="10">
        <v>45115</v>
      </c>
      <c r="L26" s="13"/>
      <c r="N26" s="4" t="s">
        <v>75</v>
      </c>
      <c r="P26" s="4" t="s">
        <v>27</v>
      </c>
      <c r="Q26" s="4" t="s">
        <v>42</v>
      </c>
      <c r="R26" s="4" t="s">
        <v>60</v>
      </c>
    </row>
    <row r="27" spans="1:18" x14ac:dyDescent="0.25">
      <c r="A27" s="4" t="s">
        <v>121</v>
      </c>
      <c r="B27" s="1">
        <v>2751</v>
      </c>
      <c r="C27" s="1" t="s">
        <v>12</v>
      </c>
      <c r="D27" s="1" t="s">
        <v>138</v>
      </c>
      <c r="E27" s="1" t="s">
        <v>11</v>
      </c>
      <c r="F27" s="1" t="s">
        <v>104</v>
      </c>
      <c r="G27" s="1" t="s">
        <v>105</v>
      </c>
      <c r="H27" s="8">
        <v>5378</v>
      </c>
      <c r="I27" s="8">
        <f t="shared" si="0"/>
        <v>5378</v>
      </c>
      <c r="K27" s="7">
        <v>45351</v>
      </c>
      <c r="L27" s="13"/>
      <c r="N27" s="1" t="s">
        <v>47</v>
      </c>
      <c r="P27" s="4" t="s">
        <v>27</v>
      </c>
      <c r="Q27" s="4" t="s">
        <v>42</v>
      </c>
      <c r="R27" s="4" t="s">
        <v>13</v>
      </c>
    </row>
    <row r="28" spans="1:18" x14ac:dyDescent="0.25">
      <c r="A28" s="4" t="s">
        <v>121</v>
      </c>
      <c r="B28" s="4">
        <v>2205</v>
      </c>
      <c r="C28" s="1" t="s">
        <v>12</v>
      </c>
      <c r="D28" s="4" t="s">
        <v>41</v>
      </c>
      <c r="E28" s="1" t="s">
        <v>17</v>
      </c>
      <c r="F28" s="4" t="s">
        <v>81</v>
      </c>
      <c r="G28" s="4" t="s">
        <v>106</v>
      </c>
      <c r="H28" s="6">
        <v>7013</v>
      </c>
      <c r="I28" s="8">
        <f t="shared" si="0"/>
        <v>7013</v>
      </c>
      <c r="K28" s="10">
        <v>44981</v>
      </c>
      <c r="L28" s="13"/>
      <c r="N28" s="4" t="s">
        <v>83</v>
      </c>
      <c r="P28" s="4" t="s">
        <v>27</v>
      </c>
      <c r="Q28" s="4" t="s">
        <v>42</v>
      </c>
      <c r="R28" s="4" t="s">
        <v>13</v>
      </c>
    </row>
    <row r="29" spans="1:18" x14ac:dyDescent="0.25">
      <c r="A29" s="4" t="s">
        <v>121</v>
      </c>
      <c r="B29" s="1">
        <v>2602</v>
      </c>
      <c r="C29" s="1" t="s">
        <v>12</v>
      </c>
      <c r="D29" s="1" t="s">
        <v>41</v>
      </c>
      <c r="E29" s="1" t="s">
        <v>17</v>
      </c>
      <c r="F29" s="1" t="s">
        <v>107</v>
      </c>
      <c r="G29" s="1" t="s">
        <v>108</v>
      </c>
      <c r="H29" s="8">
        <v>9989</v>
      </c>
      <c r="I29" s="8">
        <f t="shared" si="0"/>
        <v>9989</v>
      </c>
      <c r="K29" s="7">
        <v>45337</v>
      </c>
      <c r="L29" s="13"/>
      <c r="N29" s="1" t="s">
        <v>47</v>
      </c>
      <c r="P29" s="1" t="s">
        <v>27</v>
      </c>
      <c r="Q29" s="4" t="s">
        <v>42</v>
      </c>
      <c r="R29" s="4" t="s">
        <v>90</v>
      </c>
    </row>
    <row r="30" spans="1:18" x14ac:dyDescent="0.25">
      <c r="A30" s="4" t="s">
        <v>121</v>
      </c>
      <c r="B30" s="4">
        <v>2499</v>
      </c>
      <c r="C30" s="1" t="s">
        <v>12</v>
      </c>
      <c r="D30" s="4" t="s">
        <v>41</v>
      </c>
      <c r="E30" s="1" t="s">
        <v>17</v>
      </c>
      <c r="F30" s="4" t="s">
        <v>109</v>
      </c>
      <c r="G30" s="4" t="s">
        <v>110</v>
      </c>
      <c r="H30" s="6">
        <v>13136</v>
      </c>
      <c r="I30" s="8">
        <f t="shared" si="0"/>
        <v>13136</v>
      </c>
      <c r="K30" s="10">
        <v>45260</v>
      </c>
      <c r="L30" s="13"/>
      <c r="N30" s="4" t="s">
        <v>47</v>
      </c>
      <c r="P30" s="4" t="s">
        <v>27</v>
      </c>
      <c r="Q30" s="4" t="s">
        <v>42</v>
      </c>
      <c r="R30" s="4" t="s">
        <v>48</v>
      </c>
    </row>
    <row r="31" spans="1:18" x14ac:dyDescent="0.25">
      <c r="A31" s="4" t="s">
        <v>121</v>
      </c>
      <c r="B31" s="1">
        <v>2738</v>
      </c>
      <c r="C31" s="1" t="s">
        <v>12</v>
      </c>
      <c r="D31" s="1" t="s">
        <v>45</v>
      </c>
      <c r="E31" s="4" t="s">
        <v>18</v>
      </c>
      <c r="F31" s="1" t="s">
        <v>111</v>
      </c>
      <c r="G31" s="1" t="s">
        <v>112</v>
      </c>
      <c r="H31" s="8">
        <v>15699.5</v>
      </c>
      <c r="I31" s="8">
        <f t="shared" si="0"/>
        <v>15699.5</v>
      </c>
      <c r="K31" s="7">
        <v>45315</v>
      </c>
      <c r="L31" s="13"/>
      <c r="N31" s="1" t="s">
        <v>83</v>
      </c>
      <c r="P31" s="4" t="s">
        <v>27</v>
      </c>
      <c r="Q31" s="4" t="s">
        <v>42</v>
      </c>
      <c r="R31" s="4" t="s">
        <v>13</v>
      </c>
    </row>
    <row r="32" spans="1:18" x14ac:dyDescent="0.25">
      <c r="A32" s="4" t="s">
        <v>121</v>
      </c>
      <c r="B32" s="1">
        <v>2731</v>
      </c>
      <c r="C32" s="1" t="s">
        <v>12</v>
      </c>
      <c r="D32" s="1" t="s">
        <v>138</v>
      </c>
      <c r="E32" s="1" t="s">
        <v>11</v>
      </c>
      <c r="F32" s="1" t="s">
        <v>113</v>
      </c>
      <c r="G32" s="1" t="s">
        <v>114</v>
      </c>
      <c r="H32" s="8">
        <v>18459</v>
      </c>
      <c r="I32" s="8">
        <f t="shared" si="0"/>
        <v>18459</v>
      </c>
      <c r="K32" s="7">
        <v>45366</v>
      </c>
      <c r="L32" s="13"/>
      <c r="N32" s="1" t="s">
        <v>47</v>
      </c>
      <c r="P32" s="4" t="s">
        <v>27</v>
      </c>
      <c r="Q32" s="4" t="s">
        <v>42</v>
      </c>
      <c r="R32" s="4" t="s">
        <v>13</v>
      </c>
    </row>
    <row r="33" spans="1:18" x14ac:dyDescent="0.25">
      <c r="A33" s="4" t="s">
        <v>121</v>
      </c>
      <c r="B33" s="1">
        <v>2742</v>
      </c>
      <c r="C33" s="1" t="s">
        <v>12</v>
      </c>
      <c r="D33" s="1" t="s">
        <v>138</v>
      </c>
      <c r="E33" s="1" t="s">
        <v>11</v>
      </c>
      <c r="F33" s="1" t="s">
        <v>115</v>
      </c>
      <c r="G33" s="1" t="s">
        <v>116</v>
      </c>
      <c r="H33" s="8">
        <v>18580</v>
      </c>
      <c r="I33" s="8">
        <f t="shared" si="0"/>
        <v>18580</v>
      </c>
      <c r="K33" s="7">
        <v>45351</v>
      </c>
      <c r="L33" s="13"/>
      <c r="N33" s="1" t="s">
        <v>47</v>
      </c>
      <c r="P33" s="4" t="s">
        <v>27</v>
      </c>
      <c r="Q33" s="4" t="s">
        <v>42</v>
      </c>
      <c r="R33" s="4" t="s">
        <v>48</v>
      </c>
    </row>
    <row r="34" spans="1:18" x14ac:dyDescent="0.25">
      <c r="A34" s="4" t="s">
        <v>121</v>
      </c>
      <c r="B34" s="1">
        <v>2744</v>
      </c>
      <c r="C34" s="1" t="s">
        <v>12</v>
      </c>
      <c r="D34" s="1" t="s">
        <v>88</v>
      </c>
      <c r="E34" s="1" t="s">
        <v>11</v>
      </c>
      <c r="F34" s="1" t="s">
        <v>117</v>
      </c>
      <c r="G34" s="1" t="s">
        <v>118</v>
      </c>
      <c r="H34" s="8">
        <v>56650</v>
      </c>
      <c r="I34" s="8">
        <f t="shared" si="0"/>
        <v>56650</v>
      </c>
      <c r="K34" s="7">
        <v>45351</v>
      </c>
      <c r="L34" s="13"/>
      <c r="N34" s="1" t="s">
        <v>47</v>
      </c>
      <c r="P34" s="4" t="s">
        <v>27</v>
      </c>
      <c r="Q34" s="4" t="s">
        <v>42</v>
      </c>
      <c r="R34" s="4" t="s">
        <v>48</v>
      </c>
    </row>
    <row r="35" spans="1:18" x14ac:dyDescent="0.25">
      <c r="A35" s="4" t="s">
        <v>121</v>
      </c>
      <c r="B35" s="1">
        <v>2755</v>
      </c>
      <c r="C35" s="1" t="s">
        <v>12</v>
      </c>
      <c r="D35" s="1" t="s">
        <v>138</v>
      </c>
      <c r="E35" s="1" t="s">
        <v>11</v>
      </c>
      <c r="F35" s="1" t="s">
        <v>119</v>
      </c>
      <c r="G35" s="1" t="s">
        <v>120</v>
      </c>
      <c r="H35" s="8">
        <v>70550</v>
      </c>
      <c r="I35" s="8">
        <f t="shared" si="0"/>
        <v>70550</v>
      </c>
      <c r="K35" s="7">
        <v>45474</v>
      </c>
      <c r="L35" s="13"/>
      <c r="N35" s="1" t="s">
        <v>47</v>
      </c>
      <c r="P35" s="4" t="s">
        <v>27</v>
      </c>
      <c r="Q35" s="4" t="s">
        <v>42</v>
      </c>
      <c r="R35" s="4" t="s">
        <v>91</v>
      </c>
    </row>
    <row r="36" spans="1:18" ht="28.5" customHeight="1" x14ac:dyDescent="0.25">
      <c r="A36" s="4" t="s">
        <v>121</v>
      </c>
      <c r="B36" s="1">
        <v>2790</v>
      </c>
      <c r="C36" s="1" t="s">
        <v>12</v>
      </c>
      <c r="D36" s="1" t="s">
        <v>41</v>
      </c>
      <c r="E36" s="1" t="s">
        <v>17</v>
      </c>
      <c r="F36" s="1" t="s">
        <v>117</v>
      </c>
      <c r="G36" s="1" t="s">
        <v>139</v>
      </c>
      <c r="H36" s="8">
        <v>195000</v>
      </c>
      <c r="I36" s="8">
        <f t="shared" si="0"/>
        <v>195000</v>
      </c>
      <c r="K36" s="7"/>
      <c r="L36" s="13"/>
      <c r="N36" s="1" t="s">
        <v>47</v>
      </c>
      <c r="P36" s="4" t="s">
        <v>27</v>
      </c>
      <c r="Q36" s="4" t="s">
        <v>42</v>
      </c>
      <c r="R36" s="4" t="s">
        <v>48</v>
      </c>
    </row>
    <row r="37" spans="1:18" x14ac:dyDescent="0.25">
      <c r="A37" s="4" t="s">
        <v>121</v>
      </c>
      <c r="B37" s="4" t="s">
        <v>22</v>
      </c>
      <c r="C37" s="1" t="s">
        <v>12</v>
      </c>
      <c r="D37" s="1" t="s">
        <v>45</v>
      </c>
      <c r="E37" s="4" t="s">
        <v>18</v>
      </c>
      <c r="F37" s="4" t="s">
        <v>141</v>
      </c>
      <c r="G37" s="1" t="s">
        <v>142</v>
      </c>
      <c r="H37" s="8">
        <v>50000</v>
      </c>
      <c r="I37" s="8">
        <f t="shared" si="0"/>
        <v>50000</v>
      </c>
      <c r="J37" s="5">
        <v>45390</v>
      </c>
      <c r="K37" s="7">
        <v>45536</v>
      </c>
      <c r="L37" s="13"/>
      <c r="M37" s="4" t="s">
        <v>143</v>
      </c>
      <c r="N37" s="1" t="s">
        <v>26</v>
      </c>
      <c r="P37" s="4" t="s">
        <v>49</v>
      </c>
      <c r="Q37" s="4" t="s">
        <v>42</v>
      </c>
      <c r="R37" s="4" t="s">
        <v>144</v>
      </c>
    </row>
    <row r="38" spans="1:18" x14ac:dyDescent="0.25">
      <c r="A38" s="4" t="s">
        <v>121</v>
      </c>
      <c r="B38" s="4" t="s">
        <v>22</v>
      </c>
      <c r="C38" s="1" t="s">
        <v>12</v>
      </c>
      <c r="D38" s="4" t="s">
        <v>45</v>
      </c>
      <c r="E38" s="4" t="s">
        <v>18</v>
      </c>
      <c r="F38" s="4" t="s">
        <v>145</v>
      </c>
      <c r="G38" s="4" t="s">
        <v>146</v>
      </c>
      <c r="H38" s="6">
        <v>50000</v>
      </c>
      <c r="I38" s="8">
        <f t="shared" si="0"/>
        <v>50000</v>
      </c>
      <c r="J38" s="5">
        <v>45390</v>
      </c>
      <c r="K38" s="7">
        <v>45537</v>
      </c>
      <c r="L38" s="13"/>
      <c r="M38" s="4" t="s">
        <v>51</v>
      </c>
      <c r="N38" s="4" t="s">
        <v>51</v>
      </c>
      <c r="P38" s="4" t="s">
        <v>27</v>
      </c>
      <c r="Q38" s="4" t="s">
        <v>43</v>
      </c>
      <c r="R38" s="4" t="s">
        <v>147</v>
      </c>
    </row>
    <row r="39" spans="1:18" x14ac:dyDescent="0.25">
      <c r="A39" s="4" t="s">
        <v>121</v>
      </c>
      <c r="B39" s="4" t="s">
        <v>22</v>
      </c>
      <c r="C39" s="1" t="s">
        <v>12</v>
      </c>
      <c r="D39" s="4" t="s">
        <v>45</v>
      </c>
      <c r="E39" s="4" t="s">
        <v>18</v>
      </c>
      <c r="F39" s="4" t="s">
        <v>148</v>
      </c>
      <c r="G39" s="4" t="s">
        <v>149</v>
      </c>
      <c r="H39" s="6">
        <v>25000</v>
      </c>
      <c r="I39" s="8">
        <f t="shared" si="0"/>
        <v>25000</v>
      </c>
      <c r="J39" s="5">
        <v>45390</v>
      </c>
      <c r="K39" s="7">
        <v>45538</v>
      </c>
      <c r="L39" s="13"/>
      <c r="M39" s="4" t="s">
        <v>51</v>
      </c>
      <c r="N39" s="4" t="s">
        <v>26</v>
      </c>
      <c r="P39" s="4" t="s">
        <v>49</v>
      </c>
      <c r="Q39" s="4" t="s">
        <v>43</v>
      </c>
      <c r="R39" s="4" t="s">
        <v>150</v>
      </c>
    </row>
    <row r="40" spans="1:18" x14ac:dyDescent="0.25">
      <c r="A40" s="4" t="s">
        <v>121</v>
      </c>
      <c r="B40" s="4" t="s">
        <v>22</v>
      </c>
      <c r="C40" s="1" t="s">
        <v>12</v>
      </c>
      <c r="D40" s="4" t="s">
        <v>41</v>
      </c>
      <c r="E40" s="1" t="s">
        <v>17</v>
      </c>
      <c r="F40" s="4" t="s">
        <v>151</v>
      </c>
      <c r="G40" s="4" t="s">
        <v>149</v>
      </c>
      <c r="H40" s="6">
        <v>15000</v>
      </c>
      <c r="I40" s="8">
        <f t="shared" si="0"/>
        <v>15000</v>
      </c>
      <c r="J40" s="5">
        <v>45380</v>
      </c>
      <c r="K40" s="7">
        <v>45539</v>
      </c>
      <c r="L40" s="13"/>
      <c r="M40" s="4" t="s">
        <v>152</v>
      </c>
      <c r="N40" s="4" t="s">
        <v>51</v>
      </c>
      <c r="P40" s="4" t="s">
        <v>49</v>
      </c>
      <c r="Q40" s="4" t="s">
        <v>42</v>
      </c>
    </row>
    <row r="41" spans="1:18" x14ac:dyDescent="0.25">
      <c r="A41" s="4" t="s">
        <v>121</v>
      </c>
      <c r="B41" s="4" t="s">
        <v>22</v>
      </c>
      <c r="C41" s="1" t="s">
        <v>12</v>
      </c>
      <c r="D41" s="4" t="s">
        <v>41</v>
      </c>
      <c r="E41" s="1" t="s">
        <v>17</v>
      </c>
      <c r="F41" s="4" t="s">
        <v>153</v>
      </c>
      <c r="G41" s="4" t="s">
        <v>149</v>
      </c>
      <c r="H41" s="6">
        <v>15000</v>
      </c>
      <c r="I41" s="8">
        <f t="shared" si="0"/>
        <v>15000</v>
      </c>
      <c r="J41" s="5">
        <v>45380</v>
      </c>
      <c r="K41" s="7">
        <v>45539</v>
      </c>
      <c r="L41" s="13"/>
      <c r="M41" s="4" t="s">
        <v>152</v>
      </c>
      <c r="N41" s="4" t="s">
        <v>51</v>
      </c>
      <c r="P41" s="4" t="s">
        <v>49</v>
      </c>
      <c r="Q41" s="4" t="s">
        <v>42</v>
      </c>
    </row>
    <row r="42" spans="1:18" x14ac:dyDescent="0.25">
      <c r="A42" s="4" t="s">
        <v>121</v>
      </c>
      <c r="B42" s="4" t="s">
        <v>22</v>
      </c>
      <c r="C42" s="1" t="s">
        <v>12</v>
      </c>
      <c r="D42" s="4" t="s">
        <v>41</v>
      </c>
      <c r="E42" s="1" t="s">
        <v>17</v>
      </c>
      <c r="F42" s="4" t="s">
        <v>154</v>
      </c>
      <c r="G42" s="4" t="s">
        <v>71</v>
      </c>
      <c r="H42" s="6">
        <v>20000</v>
      </c>
      <c r="I42" s="8">
        <f t="shared" si="0"/>
        <v>20000</v>
      </c>
      <c r="J42" s="5">
        <v>45380</v>
      </c>
      <c r="K42" s="7">
        <v>45539</v>
      </c>
      <c r="L42" s="13"/>
      <c r="M42" s="4" t="s">
        <v>26</v>
      </c>
      <c r="N42" s="4" t="s">
        <v>51</v>
      </c>
      <c r="P42" s="4" t="s">
        <v>49</v>
      </c>
      <c r="Q42" s="4" t="s">
        <v>42</v>
      </c>
    </row>
    <row r="43" spans="1:18" x14ac:dyDescent="0.25">
      <c r="A43" s="4" t="s">
        <v>121</v>
      </c>
      <c r="B43" s="4">
        <v>2309</v>
      </c>
      <c r="C43" s="1" t="s">
        <v>12</v>
      </c>
      <c r="D43" s="4" t="s">
        <v>45</v>
      </c>
      <c r="E43" s="4" t="s">
        <v>18</v>
      </c>
      <c r="F43" s="4" t="s">
        <v>155</v>
      </c>
      <c r="G43" s="4" t="s">
        <v>156</v>
      </c>
      <c r="H43" s="6">
        <v>12000</v>
      </c>
      <c r="I43" s="8">
        <f t="shared" si="0"/>
        <v>12000</v>
      </c>
      <c r="J43" s="5">
        <v>45391</v>
      </c>
      <c r="K43" s="7">
        <v>45539</v>
      </c>
      <c r="L43" s="13"/>
      <c r="M43" s="4" t="s">
        <v>25</v>
      </c>
      <c r="N43" s="4" t="s">
        <v>157</v>
      </c>
      <c r="P43" s="4" t="s">
        <v>27</v>
      </c>
      <c r="Q43" s="4" t="s">
        <v>42</v>
      </c>
    </row>
    <row r="44" spans="1:18" x14ac:dyDescent="0.25">
      <c r="A44" s="4" t="s">
        <v>121</v>
      </c>
      <c r="B44" s="4">
        <v>2308</v>
      </c>
      <c r="C44" s="1" t="s">
        <v>12</v>
      </c>
      <c r="D44" s="4" t="s">
        <v>45</v>
      </c>
      <c r="E44" s="4" t="s">
        <v>18</v>
      </c>
      <c r="F44" s="4" t="s">
        <v>92</v>
      </c>
      <c r="G44" s="4" t="s">
        <v>158</v>
      </c>
      <c r="H44" s="6">
        <v>1500</v>
      </c>
      <c r="I44" s="8">
        <f t="shared" si="0"/>
        <v>1500</v>
      </c>
      <c r="J44" s="5">
        <v>45391</v>
      </c>
      <c r="K44" s="7">
        <v>45539</v>
      </c>
      <c r="L44" s="13"/>
      <c r="M44" s="4" t="s">
        <v>25</v>
      </c>
      <c r="N44" s="4" t="s">
        <v>157</v>
      </c>
      <c r="P44" s="4" t="s">
        <v>27</v>
      </c>
      <c r="Q44" s="4" t="s">
        <v>42</v>
      </c>
    </row>
    <row r="45" spans="1:18" x14ac:dyDescent="0.25">
      <c r="A45" s="4" t="s">
        <v>121</v>
      </c>
      <c r="B45" s="4">
        <v>2306</v>
      </c>
      <c r="C45" s="1" t="s">
        <v>12</v>
      </c>
      <c r="D45" s="4" t="s">
        <v>45</v>
      </c>
      <c r="E45" s="4" t="s">
        <v>18</v>
      </c>
      <c r="F45" s="4" t="s">
        <v>159</v>
      </c>
      <c r="G45" s="4" t="s">
        <v>120</v>
      </c>
      <c r="H45" s="6">
        <v>1100</v>
      </c>
      <c r="I45" s="8">
        <f t="shared" si="0"/>
        <v>1100</v>
      </c>
      <c r="J45" s="5">
        <v>45391</v>
      </c>
      <c r="K45" s="7">
        <v>45539</v>
      </c>
      <c r="L45" s="13"/>
      <c r="M45" s="4" t="s">
        <v>47</v>
      </c>
      <c r="N45" s="4" t="s">
        <v>157</v>
      </c>
      <c r="P45" s="4" t="s">
        <v>27</v>
      </c>
      <c r="Q45" s="4" t="s">
        <v>42</v>
      </c>
    </row>
    <row r="46" spans="1:18" x14ac:dyDescent="0.25">
      <c r="A46" s="4" t="s">
        <v>121</v>
      </c>
      <c r="B46" s="4">
        <v>2303</v>
      </c>
      <c r="C46" s="1" t="s">
        <v>12</v>
      </c>
      <c r="D46" s="4" t="s">
        <v>41</v>
      </c>
      <c r="E46" s="1" t="s">
        <v>17</v>
      </c>
      <c r="F46" s="4" t="s">
        <v>160</v>
      </c>
      <c r="G46" s="4" t="s">
        <v>161</v>
      </c>
      <c r="H46" s="6">
        <v>25000</v>
      </c>
      <c r="I46" s="8">
        <f t="shared" si="0"/>
        <v>25000</v>
      </c>
      <c r="J46" s="5">
        <v>45391</v>
      </c>
      <c r="K46" s="7">
        <v>45539</v>
      </c>
      <c r="L46" s="13"/>
      <c r="M46" s="4" t="s">
        <v>47</v>
      </c>
      <c r="N46" s="4" t="s">
        <v>47</v>
      </c>
      <c r="P46" s="4" t="s">
        <v>27</v>
      </c>
      <c r="Q46" s="4" t="s">
        <v>42</v>
      </c>
    </row>
    <row r="47" spans="1:18" x14ac:dyDescent="0.25">
      <c r="A47" s="4" t="s">
        <v>121</v>
      </c>
      <c r="B47" s="4">
        <v>2297</v>
      </c>
      <c r="C47" s="1" t="s">
        <v>12</v>
      </c>
      <c r="D47" s="4" t="s">
        <v>41</v>
      </c>
      <c r="E47" s="1" t="s">
        <v>17</v>
      </c>
      <c r="F47" s="4" t="s">
        <v>162</v>
      </c>
      <c r="G47" s="4" t="s">
        <v>163</v>
      </c>
      <c r="H47" s="6">
        <v>50000</v>
      </c>
      <c r="I47" s="8">
        <f t="shared" si="0"/>
        <v>50000</v>
      </c>
      <c r="J47" s="5">
        <v>45391</v>
      </c>
      <c r="K47" s="7">
        <v>45539</v>
      </c>
      <c r="L47" s="13"/>
      <c r="M47" s="4" t="s">
        <v>50</v>
      </c>
      <c r="N47" s="4" t="s">
        <v>26</v>
      </c>
      <c r="P47" s="4" t="s">
        <v>49</v>
      </c>
      <c r="Q47" s="4" t="s">
        <v>42</v>
      </c>
    </row>
    <row r="48" spans="1:18" x14ac:dyDescent="0.25">
      <c r="A48" s="4" t="s">
        <v>121</v>
      </c>
      <c r="B48" s="4">
        <v>2312</v>
      </c>
      <c r="C48" s="1" t="s">
        <v>12</v>
      </c>
      <c r="D48" s="4" t="s">
        <v>41</v>
      </c>
      <c r="E48" s="1" t="s">
        <v>17</v>
      </c>
      <c r="F48" s="4" t="s">
        <v>162</v>
      </c>
      <c r="G48" s="4" t="s">
        <v>164</v>
      </c>
      <c r="H48" s="6">
        <v>40000</v>
      </c>
      <c r="I48" s="8">
        <f t="shared" si="0"/>
        <v>40000</v>
      </c>
      <c r="J48" s="5">
        <v>45391</v>
      </c>
      <c r="K48" s="7">
        <v>45539</v>
      </c>
      <c r="L48" s="13"/>
      <c r="M48" s="4" t="s">
        <v>50</v>
      </c>
      <c r="N48" s="4" t="s">
        <v>59</v>
      </c>
      <c r="P48" s="4" t="s">
        <v>49</v>
      </c>
      <c r="Q48" s="4" t="s">
        <v>42</v>
      </c>
    </row>
  </sheetData>
  <autoFilter ref="A1:AB48" xr:uid="{DA70BBEE-5F03-4CC7-AD0B-D61997EB9223}"/>
  <pageMargins left="0.7" right="0.7" top="0.75" bottom="0.75" header="0.3" footer="0.3"/>
  <pageSetup paperSize="119" scale="46" orientation="landscape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AB753-EE6C-4E7C-B607-BE2EFB96155B}">
  <sheetPr>
    <tabColor rgb="FF92D050"/>
    <pageSetUpPr fitToPage="1"/>
  </sheetPr>
  <dimension ref="A1:FZ7"/>
  <sheetViews>
    <sheetView zoomScaleNormal="100" workbookViewId="0">
      <pane xSplit="6" ySplit="1" topLeftCell="G2" activePane="bottomRight" state="frozen"/>
      <selection activeCell="I26" sqref="I26"/>
      <selection pane="topRight" activeCell="I26" sqref="I26"/>
      <selection pane="bottomLeft" activeCell="I26" sqref="I26"/>
      <selection pane="bottomRight" activeCell="A2" sqref="A2:XFD5"/>
    </sheetView>
  </sheetViews>
  <sheetFormatPr defaultColWidth="8.85546875" defaultRowHeight="13.5" customHeight="1" x14ac:dyDescent="0.25"/>
  <cols>
    <col min="1" max="5" width="8.85546875" style="28"/>
    <col min="6" max="6" width="44.42578125" style="45" customWidth="1"/>
    <col min="7" max="7" width="24.28515625" style="47" customWidth="1"/>
    <col min="8" max="8" width="11" style="46" customWidth="1"/>
    <col min="10" max="12" width="10.7109375" style="50" customWidth="1"/>
    <col min="13" max="13" width="24.5703125" style="49" customWidth="1"/>
    <col min="14" max="17" width="18" style="48" customWidth="1"/>
    <col min="18" max="19" width="26.5703125" style="49" customWidth="1"/>
    <col min="20" max="20" width="8.85546875" style="27" customWidth="1"/>
    <col min="21" max="70" width="8.85546875" style="16"/>
    <col min="71" max="16384" width="8.85546875" style="28"/>
  </cols>
  <sheetData>
    <row r="1" spans="1:182" s="67" customFormat="1" ht="13.5" customHeight="1" x14ac:dyDescent="0.2">
      <c r="A1" s="66" t="s">
        <v>23</v>
      </c>
      <c r="B1" s="67" t="s">
        <v>195</v>
      </c>
      <c r="C1" s="67" t="s">
        <v>122</v>
      </c>
      <c r="D1" s="67" t="s">
        <v>0</v>
      </c>
      <c r="E1" s="67" t="s">
        <v>197</v>
      </c>
      <c r="F1" s="14" t="s">
        <v>198</v>
      </c>
      <c r="G1" s="14" t="s">
        <v>1</v>
      </c>
      <c r="H1" s="17" t="s">
        <v>199</v>
      </c>
      <c r="I1" s="67" t="s">
        <v>28</v>
      </c>
      <c r="J1" s="18" t="s">
        <v>2</v>
      </c>
      <c r="K1" s="18" t="s">
        <v>3</v>
      </c>
      <c r="L1" s="18" t="s">
        <v>4</v>
      </c>
      <c r="M1" s="14" t="s">
        <v>24</v>
      </c>
      <c r="N1" s="14" t="s">
        <v>200</v>
      </c>
      <c r="O1" s="14" t="s">
        <v>124</v>
      </c>
      <c r="P1" s="14" t="s">
        <v>5</v>
      </c>
      <c r="Q1" s="14" t="s">
        <v>6</v>
      </c>
      <c r="R1" s="14" t="s">
        <v>168</v>
      </c>
      <c r="S1" s="14" t="s">
        <v>125</v>
      </c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</row>
    <row r="2" spans="1:182" ht="15.95" customHeight="1" x14ac:dyDescent="0.2">
      <c r="A2" s="28" t="s">
        <v>196</v>
      </c>
      <c r="C2" s="28" t="s">
        <v>12</v>
      </c>
      <c r="E2" s="28" t="s">
        <v>11</v>
      </c>
      <c r="F2" s="21" t="s">
        <v>167</v>
      </c>
      <c r="G2" s="23" t="s">
        <v>166</v>
      </c>
      <c r="H2" s="22">
        <v>75600</v>
      </c>
      <c r="I2" s="68">
        <f>H2</f>
        <v>75600</v>
      </c>
      <c r="J2" s="26">
        <v>45344</v>
      </c>
      <c r="K2" s="26"/>
      <c r="L2" s="26"/>
      <c r="M2" s="25" t="s">
        <v>170</v>
      </c>
      <c r="N2" s="24" t="s">
        <v>169</v>
      </c>
      <c r="O2" s="24"/>
      <c r="P2" s="24" t="s">
        <v>201</v>
      </c>
      <c r="Q2" s="24"/>
      <c r="R2" s="25" t="s">
        <v>171</v>
      </c>
      <c r="S2" s="25" t="s">
        <v>196</v>
      </c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6"/>
      <c r="EF2" s="16"/>
      <c r="EG2" s="16"/>
      <c r="EH2" s="16"/>
      <c r="EI2" s="16"/>
      <c r="EJ2" s="16"/>
      <c r="EK2" s="16"/>
      <c r="EL2" s="16"/>
      <c r="EM2" s="16"/>
      <c r="EN2" s="16"/>
      <c r="EO2" s="16"/>
      <c r="EP2" s="16"/>
      <c r="EQ2" s="16"/>
      <c r="ER2" s="16"/>
      <c r="ES2" s="16"/>
      <c r="ET2" s="16"/>
      <c r="EU2" s="16"/>
      <c r="EV2" s="16"/>
      <c r="EW2" s="16"/>
      <c r="EX2" s="16"/>
      <c r="EY2" s="16"/>
      <c r="EZ2" s="16"/>
      <c r="FA2" s="16"/>
      <c r="FB2" s="16"/>
      <c r="FC2" s="16"/>
      <c r="FD2" s="16"/>
      <c r="FE2" s="16"/>
      <c r="FF2" s="16"/>
      <c r="FG2" s="16"/>
      <c r="FH2" s="16"/>
      <c r="FI2" s="16"/>
      <c r="FJ2" s="16"/>
      <c r="FK2" s="16"/>
      <c r="FL2" s="16"/>
      <c r="FM2" s="16"/>
      <c r="FN2" s="16"/>
      <c r="FO2" s="16"/>
      <c r="FP2" s="16"/>
      <c r="FQ2" s="16"/>
      <c r="FR2" s="16"/>
      <c r="FS2" s="16"/>
      <c r="FT2" s="16"/>
      <c r="FU2" s="16"/>
      <c r="FV2" s="16"/>
      <c r="FW2" s="16"/>
      <c r="FX2" s="16"/>
      <c r="FY2" s="16"/>
      <c r="FZ2" s="16"/>
    </row>
    <row r="3" spans="1:182" s="36" customFormat="1" ht="15.95" customHeight="1" x14ac:dyDescent="0.2">
      <c r="A3" s="28" t="s">
        <v>196</v>
      </c>
      <c r="C3" s="36" t="s">
        <v>12</v>
      </c>
      <c r="E3" s="36" t="s">
        <v>17</v>
      </c>
      <c r="F3" s="29" t="s">
        <v>172</v>
      </c>
      <c r="G3" s="31" t="s">
        <v>173</v>
      </c>
      <c r="H3" s="30">
        <v>24000</v>
      </c>
      <c r="I3" s="68">
        <f t="shared" ref="I3:I5" si="0">H3</f>
        <v>24000</v>
      </c>
      <c r="J3" s="33"/>
      <c r="K3" s="33"/>
      <c r="L3" s="33"/>
      <c r="M3" s="34"/>
      <c r="N3" s="32" t="s">
        <v>174</v>
      </c>
      <c r="O3" s="32"/>
      <c r="P3" s="32" t="s">
        <v>201</v>
      </c>
      <c r="Q3" s="32"/>
      <c r="R3" s="34" t="s">
        <v>175</v>
      </c>
      <c r="S3" s="34" t="s">
        <v>196</v>
      </c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35"/>
    </row>
    <row r="4" spans="1:182" ht="15.95" customHeight="1" x14ac:dyDescent="0.2">
      <c r="A4" s="28" t="s">
        <v>196</v>
      </c>
      <c r="C4" s="28" t="s">
        <v>12</v>
      </c>
      <c r="E4" s="28" t="s">
        <v>17</v>
      </c>
      <c r="F4" s="21" t="s">
        <v>165</v>
      </c>
      <c r="G4" s="23" t="s">
        <v>173</v>
      </c>
      <c r="H4" s="22">
        <v>50000</v>
      </c>
      <c r="I4" s="68">
        <f t="shared" si="0"/>
        <v>50000</v>
      </c>
      <c r="J4" s="26">
        <v>45421</v>
      </c>
      <c r="K4" s="26"/>
      <c r="L4" s="26"/>
      <c r="M4" s="25" t="s">
        <v>143</v>
      </c>
      <c r="N4" s="24" t="s">
        <v>176</v>
      </c>
      <c r="O4" s="24"/>
      <c r="P4" s="24" t="s">
        <v>201</v>
      </c>
      <c r="Q4" s="24"/>
      <c r="R4" s="25" t="s">
        <v>177</v>
      </c>
      <c r="S4" s="25" t="s">
        <v>196</v>
      </c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16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</row>
    <row r="5" spans="1:182" s="44" customFormat="1" ht="15.95" customHeight="1" x14ac:dyDescent="0.2">
      <c r="A5" s="28" t="s">
        <v>196</v>
      </c>
      <c r="C5" s="44" t="s">
        <v>12</v>
      </c>
      <c r="E5" s="44" t="s">
        <v>17</v>
      </c>
      <c r="F5" s="37" t="s">
        <v>178</v>
      </c>
      <c r="G5" s="39" t="s">
        <v>173</v>
      </c>
      <c r="H5" s="38">
        <v>25000</v>
      </c>
      <c r="I5" s="68">
        <f t="shared" si="0"/>
        <v>25000</v>
      </c>
      <c r="J5" s="41">
        <v>45190</v>
      </c>
      <c r="K5" s="41"/>
      <c r="L5" s="41"/>
      <c r="M5" s="37"/>
      <c r="N5" s="40" t="s">
        <v>179</v>
      </c>
      <c r="O5" s="40"/>
      <c r="P5" s="40" t="s">
        <v>201</v>
      </c>
      <c r="Q5" s="40"/>
      <c r="R5" s="37" t="s">
        <v>180</v>
      </c>
      <c r="S5" s="37" t="s">
        <v>196</v>
      </c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42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</row>
    <row r="6" spans="1:182" ht="12" customHeight="1" x14ac:dyDescent="0.2">
      <c r="I6" s="28"/>
    </row>
    <row r="7" spans="1:182" ht="12" customHeight="1" x14ac:dyDescent="0.2">
      <c r="I7" s="28"/>
    </row>
  </sheetData>
  <sheetProtection formatCells="0" formatColumns="0" formatRows="0" insertColumns="0" insertRows="0" insertHyperlinks="0" deleteColumns="0" deleteRows="0" sort="0" autoFilter="0" pivotTables="0"/>
  <printOptions horizontalCentered="1" verticalCentered="1" gridLines="1"/>
  <pageMargins left="0.5" right="0.25" top="0.25" bottom="0.25" header="0.5" footer="0.5"/>
  <pageSetup scale="35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BFD7-8BA8-4132-A5B7-16F45DC801BD}">
  <sheetPr>
    <tabColor rgb="FF92D050"/>
  </sheetPr>
  <dimension ref="A1:S8"/>
  <sheetViews>
    <sheetView tabSelected="1" workbookViewId="0">
      <selection activeCell="A2" sqref="A2:XFD8"/>
    </sheetView>
  </sheetViews>
  <sheetFormatPr defaultColWidth="8.85546875" defaultRowHeight="15" x14ac:dyDescent="0.25"/>
  <cols>
    <col min="1" max="5" width="8.85546875" style="28"/>
    <col min="6" max="6" width="34.140625" style="28" customWidth="1"/>
    <col min="7" max="7" width="21.85546875" style="28" customWidth="1"/>
    <col min="8" max="9" width="15.28515625" style="28" customWidth="1"/>
    <col min="10" max="10" width="13" style="65" customWidth="1"/>
    <col min="11" max="13" width="13.7109375" style="28" customWidth="1"/>
    <col min="14" max="14" width="15.140625" style="28" customWidth="1"/>
    <col min="18" max="18" width="26" style="28" customWidth="1"/>
    <col min="19" max="19" width="14.85546875" style="28" bestFit="1" customWidth="1"/>
    <col min="20" max="16384" width="8.85546875" style="28"/>
  </cols>
  <sheetData>
    <row r="1" spans="1:19" ht="25.5" x14ac:dyDescent="0.2">
      <c r="A1" s="28" t="s">
        <v>23</v>
      </c>
      <c r="B1" s="28" t="s">
        <v>195</v>
      </c>
      <c r="C1" s="28" t="s">
        <v>122</v>
      </c>
      <c r="D1" s="28" t="s">
        <v>0</v>
      </c>
      <c r="E1" s="28" t="s">
        <v>197</v>
      </c>
      <c r="F1" s="14" t="s">
        <v>202</v>
      </c>
      <c r="G1" s="14" t="s">
        <v>203</v>
      </c>
      <c r="H1" s="14" t="s">
        <v>199</v>
      </c>
      <c r="I1" s="14" t="s">
        <v>28</v>
      </c>
      <c r="J1" s="51" t="s">
        <v>2</v>
      </c>
      <c r="K1" s="14" t="s">
        <v>204</v>
      </c>
      <c r="L1" s="14" t="s">
        <v>4</v>
      </c>
      <c r="M1" s="14" t="s">
        <v>24</v>
      </c>
      <c r="N1" s="14" t="s">
        <v>200</v>
      </c>
      <c r="O1" s="28" t="s">
        <v>124</v>
      </c>
      <c r="P1" s="28" t="s">
        <v>205</v>
      </c>
      <c r="Q1" s="28" t="s">
        <v>6</v>
      </c>
      <c r="R1" s="19" t="s">
        <v>181</v>
      </c>
      <c r="S1" s="15" t="s">
        <v>125</v>
      </c>
    </row>
    <row r="2" spans="1:19" ht="15" customHeight="1" x14ac:dyDescent="0.2">
      <c r="A2" s="28" t="s">
        <v>196</v>
      </c>
      <c r="C2" s="28" t="s">
        <v>12</v>
      </c>
      <c r="D2" s="28" t="s">
        <v>21</v>
      </c>
      <c r="E2" s="28" t="s">
        <v>21</v>
      </c>
      <c r="F2" s="52" t="s">
        <v>182</v>
      </c>
      <c r="G2" s="57" t="s">
        <v>183</v>
      </c>
      <c r="H2" s="53">
        <v>116000</v>
      </c>
      <c r="I2" s="53">
        <f>H2</f>
        <v>116000</v>
      </c>
      <c r="J2" s="54">
        <v>45426</v>
      </c>
      <c r="K2" s="55">
        <v>45320</v>
      </c>
      <c r="L2" s="55"/>
      <c r="M2" s="55"/>
      <c r="N2" s="56" t="s">
        <v>174</v>
      </c>
      <c r="O2" s="28"/>
      <c r="P2" s="28" t="s">
        <v>201</v>
      </c>
      <c r="Q2" s="28"/>
      <c r="R2" s="56" t="s">
        <v>14</v>
      </c>
      <c r="S2" s="58" t="s">
        <v>196</v>
      </c>
    </row>
    <row r="3" spans="1:19" ht="15.95" customHeight="1" x14ac:dyDescent="0.2">
      <c r="A3" s="28" t="s">
        <v>196</v>
      </c>
      <c r="C3" s="28" t="s">
        <v>12</v>
      </c>
      <c r="D3" s="28" t="s">
        <v>21</v>
      </c>
      <c r="E3" s="28" t="s">
        <v>21</v>
      </c>
      <c r="F3" s="36" t="s">
        <v>184</v>
      </c>
      <c r="G3" s="57" t="s">
        <v>173</v>
      </c>
      <c r="H3" s="53">
        <v>75000</v>
      </c>
      <c r="I3" s="53">
        <f t="shared" ref="I3:I8" si="0">H3</f>
        <v>75000</v>
      </c>
      <c r="J3" s="55">
        <v>45415</v>
      </c>
      <c r="K3" s="59">
        <v>45419</v>
      </c>
      <c r="L3" s="59"/>
      <c r="M3" s="59"/>
      <c r="N3" s="56" t="s">
        <v>185</v>
      </c>
      <c r="O3" s="28"/>
      <c r="P3" s="28" t="s">
        <v>201</v>
      </c>
      <c r="Q3" s="28"/>
      <c r="R3" s="56" t="s">
        <v>16</v>
      </c>
      <c r="S3" s="58" t="s">
        <v>196</v>
      </c>
    </row>
    <row r="4" spans="1:19" ht="15.95" customHeight="1" x14ac:dyDescent="0.2">
      <c r="A4" s="28" t="s">
        <v>196</v>
      </c>
      <c r="C4" s="28" t="s">
        <v>12</v>
      </c>
      <c r="D4" s="28" t="s">
        <v>21</v>
      </c>
      <c r="E4" s="28" t="s">
        <v>21</v>
      </c>
      <c r="F4" s="36" t="s">
        <v>186</v>
      </c>
      <c r="G4" s="57" t="s">
        <v>173</v>
      </c>
      <c r="H4" s="53">
        <v>60000</v>
      </c>
      <c r="I4" s="53">
        <f t="shared" si="0"/>
        <v>60000</v>
      </c>
      <c r="J4" s="55">
        <v>45352</v>
      </c>
      <c r="K4" s="59">
        <v>45357</v>
      </c>
      <c r="L4" s="59"/>
      <c r="M4" s="59"/>
      <c r="N4" s="56" t="s">
        <v>176</v>
      </c>
      <c r="O4" s="28"/>
      <c r="P4" s="28" t="s">
        <v>201</v>
      </c>
      <c r="Q4" s="28"/>
      <c r="R4" s="60" t="s">
        <v>187</v>
      </c>
      <c r="S4" s="58" t="s">
        <v>196</v>
      </c>
    </row>
    <row r="5" spans="1:19" ht="15.95" customHeight="1" x14ac:dyDescent="0.2">
      <c r="A5" s="28" t="s">
        <v>196</v>
      </c>
      <c r="C5" s="28" t="s">
        <v>12</v>
      </c>
      <c r="D5" s="28" t="s">
        <v>21</v>
      </c>
      <c r="E5" s="28" t="s">
        <v>21</v>
      </c>
      <c r="F5" s="52" t="s">
        <v>188</v>
      </c>
      <c r="G5" s="57" t="s">
        <v>183</v>
      </c>
      <c r="H5" s="53">
        <v>39700</v>
      </c>
      <c r="I5" s="53">
        <f t="shared" si="0"/>
        <v>39700</v>
      </c>
      <c r="J5" s="54">
        <v>45426</v>
      </c>
      <c r="K5" s="55">
        <v>45320</v>
      </c>
      <c r="L5" s="55"/>
      <c r="M5" s="55"/>
      <c r="N5" s="56" t="s">
        <v>179</v>
      </c>
      <c r="O5" s="28"/>
      <c r="P5" s="28" t="s">
        <v>201</v>
      </c>
      <c r="Q5" s="28"/>
      <c r="R5" s="60" t="s">
        <v>14</v>
      </c>
      <c r="S5" s="58" t="s">
        <v>196</v>
      </c>
    </row>
    <row r="6" spans="1:19" ht="15.95" customHeight="1" x14ac:dyDescent="0.2">
      <c r="A6" s="28" t="s">
        <v>196</v>
      </c>
      <c r="C6" s="28" t="s">
        <v>12</v>
      </c>
      <c r="D6" s="28" t="s">
        <v>21</v>
      </c>
      <c r="E6" s="28" t="s">
        <v>21</v>
      </c>
      <c r="F6" s="61" t="s">
        <v>189</v>
      </c>
      <c r="G6" s="63" t="s">
        <v>173</v>
      </c>
      <c r="H6" s="53">
        <v>24000</v>
      </c>
      <c r="I6" s="53">
        <f t="shared" si="0"/>
        <v>24000</v>
      </c>
      <c r="J6" s="55">
        <v>45402</v>
      </c>
      <c r="K6" s="59">
        <v>45402</v>
      </c>
      <c r="L6" s="69"/>
      <c r="M6" s="69"/>
      <c r="N6" s="62" t="s">
        <v>174</v>
      </c>
      <c r="O6" s="28"/>
      <c r="P6" s="28" t="s">
        <v>201</v>
      </c>
      <c r="Q6" s="28"/>
      <c r="R6" s="60" t="s">
        <v>16</v>
      </c>
      <c r="S6" s="58" t="s">
        <v>196</v>
      </c>
    </row>
    <row r="7" spans="1:19" ht="15.95" customHeight="1" x14ac:dyDescent="0.2">
      <c r="A7" s="28" t="s">
        <v>196</v>
      </c>
      <c r="C7" s="28" t="s">
        <v>12</v>
      </c>
      <c r="D7" s="28" t="s">
        <v>21</v>
      </c>
      <c r="E7" s="28" t="s">
        <v>21</v>
      </c>
      <c r="F7" s="64" t="s">
        <v>190</v>
      </c>
      <c r="G7" s="63" t="s">
        <v>183</v>
      </c>
      <c r="H7" s="53">
        <v>19500</v>
      </c>
      <c r="I7" s="53">
        <f t="shared" si="0"/>
        <v>19500</v>
      </c>
      <c r="J7" s="54">
        <v>45426</v>
      </c>
      <c r="K7" s="55">
        <v>45320</v>
      </c>
      <c r="L7" s="70"/>
      <c r="M7" s="70"/>
      <c r="N7" s="62" t="s">
        <v>179</v>
      </c>
      <c r="O7" s="28"/>
      <c r="P7" s="28" t="s">
        <v>201</v>
      </c>
      <c r="Q7" s="28"/>
      <c r="R7" s="60" t="s">
        <v>191</v>
      </c>
      <c r="S7" s="58" t="s">
        <v>196</v>
      </c>
    </row>
    <row r="8" spans="1:19" ht="15.95" customHeight="1" x14ac:dyDescent="0.2">
      <c r="A8" s="28" t="s">
        <v>196</v>
      </c>
      <c r="C8" s="28" t="s">
        <v>12</v>
      </c>
      <c r="D8" s="28" t="s">
        <v>21</v>
      </c>
      <c r="E8" s="28" t="s">
        <v>21</v>
      </c>
      <c r="F8" s="64" t="s">
        <v>192</v>
      </c>
      <c r="G8" s="63" t="s">
        <v>194</v>
      </c>
      <c r="H8" s="53">
        <v>18950</v>
      </c>
      <c r="I8" s="53">
        <f t="shared" si="0"/>
        <v>18950</v>
      </c>
      <c r="J8" s="55">
        <v>45427</v>
      </c>
      <c r="K8" s="59">
        <v>45371</v>
      </c>
      <c r="L8" s="69"/>
      <c r="M8" s="69"/>
      <c r="N8" s="62" t="s">
        <v>193</v>
      </c>
      <c r="O8" s="28"/>
      <c r="P8" s="28" t="s">
        <v>201</v>
      </c>
      <c r="Q8" s="28"/>
      <c r="R8" s="60" t="s">
        <v>16</v>
      </c>
      <c r="S8" s="58" t="s">
        <v>196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49A7EB-595B-436F-9283-CB953079A3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Legacy OIT Active 4-15</vt:lpstr>
      <vt:lpstr>Triangle Active 5-28</vt:lpstr>
      <vt:lpstr>Triangle Wins 5-28</vt:lpstr>
      <vt:lpstr>'Legacy OIT Active 4-15'!Print_Area</vt:lpstr>
      <vt:lpstr>'Triangle Active 5-28'!Print_Area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Caitlin Lacher</dc:creator>
  <cp:lastModifiedBy>Brad Hall</cp:lastModifiedBy>
  <dcterms:created xsi:type="dcterms:W3CDTF">2023-10-19T19:03:38Z</dcterms:created>
  <dcterms:modified xsi:type="dcterms:W3CDTF">2024-06-25T13:40:54Z</dcterms:modified>
</cp:coreProperties>
</file>